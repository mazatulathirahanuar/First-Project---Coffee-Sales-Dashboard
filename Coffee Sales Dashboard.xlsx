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USER\Downloads\"/>
    </mc:Choice>
  </mc:AlternateContent>
  <xr:revisionPtr revIDLastSave="0" documentId="8_{1859E38E-E3B9-4613-A7F0-42D269676A37}" xr6:coauthVersionLast="47" xr6:coauthVersionMax="47" xr10:uidLastSave="{00000000-0000-0000-0000-000000000000}"/>
  <bookViews>
    <workbookView xWindow="-120" yWindow="-120" windowWidth="20730" windowHeight="11040" xr2:uid="{12FBD22F-BA35-4ED2-87BD-B4217BDB2785}"/>
  </bookViews>
  <sheets>
    <sheet name="EXCEL DASHBOARD" sheetId="1" r:id="rId1"/>
  </sheets>
  <externalReferences>
    <externalReference r:id="rId2"/>
  </externalReferences>
  <definedNames>
    <definedName name="NativeTimeline_Order_Date">#N/A</definedName>
    <definedName name="Slicer_Coffee_Type">#N/A</definedName>
    <definedName name="Slicer_Roast_Type">#N/A</definedName>
    <definedName name="Slicer_Size">#N/A</definedName>
  </definedNames>
  <calcPr calcId="191029"/>
  <extLst>
    <ext xmlns:x14="http://schemas.microsoft.com/office/spreadsheetml/2009/9/main" uri="{876F7934-8845-4945-9796-88D515C7AA90}">
      <x14:pivotCaches>
        <pivotCache cacheId="2" r:id="rId3"/>
      </x14:pivotCaches>
    </ex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9" i="1" l="1"/>
  <c r="B9" i="1"/>
  <c r="C8" i="1"/>
</calcChain>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pivotCacheDefinition" Target="pivotCache/pivotCacheDefinition1.xml"/><Relationship Id="rId7" Type="http://schemas.microsoft.com/office/2011/relationships/timelineCache" Target="timelineCaches/timelineCach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10" Type="http://schemas.openxmlformats.org/officeDocument/2006/relationships/calcChain" Target="calcChain.xml"/><Relationship Id="rId4" Type="http://schemas.microsoft.com/office/2007/relationships/slicerCache" Target="slicerCaches/slicerCache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Revenue Trend</a:t>
            </a:r>
          </a:p>
          <a:p>
            <a:pPr>
              <a:defRPr/>
            </a:pPr>
            <a:r>
              <a:rPr lang="en-US" sz="1000" b="0">
                <a:solidFill>
                  <a:sysClr val="windowText" lastClr="000000"/>
                </a:solidFill>
              </a:rPr>
              <a:t>Jan 2019 - Aug 2022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2019</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828.9849999999999</c:v>
              </c:pt>
              <c:pt idx="1">
                <c:v>987.40499999999997</c:v>
              </c:pt>
              <c:pt idx="2">
                <c:v>1021.1399999999999</c:v>
              </c:pt>
              <c:pt idx="3">
                <c:v>1680.7500000000002</c:v>
              </c:pt>
              <c:pt idx="4">
                <c:v>398.565</c:v>
              </c:pt>
              <c:pt idx="5">
                <c:v>1384.6799999999998</c:v>
              </c:pt>
              <c:pt idx="6">
                <c:v>1004.1350000000002</c:v>
              </c:pt>
              <c:pt idx="7">
                <c:v>706.34500000000003</c:v>
              </c:pt>
              <c:pt idx="8">
                <c:v>1277.0199999999998</c:v>
              </c:pt>
              <c:pt idx="9">
                <c:v>884.96999999999991</c:v>
              </c:pt>
              <c:pt idx="10">
                <c:v>823.38499999999988</c:v>
              </c:pt>
              <c:pt idx="11">
                <c:v>1189.7850000000001</c:v>
              </c:pt>
            </c:numLit>
          </c:val>
          <c:smooth val="0"/>
          <c:extLst>
            <c:ext xmlns:c16="http://schemas.microsoft.com/office/drawing/2014/chart" uri="{C3380CC4-5D6E-409C-BE32-E72D297353CC}">
              <c16:uniqueId val="{00000000-5BFE-4F63-8B62-0DC71C572A1E}"/>
            </c:ext>
          </c:extLst>
        </c:ser>
        <c:ser>
          <c:idx val="1"/>
          <c:order val="1"/>
          <c:tx>
            <c:v>2020</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566.94999999999993</c:v>
              </c:pt>
              <c:pt idx="1">
                <c:v>1798.3399999999997</c:v>
              </c:pt>
              <c:pt idx="2">
                <c:v>914.78999999999985</c:v>
              </c:pt>
              <c:pt idx="3">
                <c:v>761.81</c:v>
              </c:pt>
              <c:pt idx="4">
                <c:v>939.35500000000013</c:v>
              </c:pt>
              <c:pt idx="5">
                <c:v>1438.44</c:v>
              </c:pt>
              <c:pt idx="6">
                <c:v>1308.9449999999999</c:v>
              </c:pt>
              <c:pt idx="7">
                <c:v>300.40000000000003</c:v>
              </c:pt>
              <c:pt idx="8">
                <c:v>713.05000000000007</c:v>
              </c:pt>
              <c:pt idx="9">
                <c:v>1514.7049999999999</c:v>
              </c:pt>
              <c:pt idx="10">
                <c:v>1108.865</c:v>
              </c:pt>
              <c:pt idx="11">
                <c:v>751.89499999999975</c:v>
              </c:pt>
            </c:numLit>
          </c:val>
          <c:smooth val="0"/>
          <c:extLst>
            <c:ext xmlns:c16="http://schemas.microsoft.com/office/drawing/2014/chart" uri="{C3380CC4-5D6E-409C-BE32-E72D297353CC}">
              <c16:uniqueId val="{00000001-5BFE-4F63-8B62-0DC71C572A1E}"/>
            </c:ext>
          </c:extLst>
        </c:ser>
        <c:ser>
          <c:idx val="2"/>
          <c:order val="2"/>
          <c:tx>
            <c:v>2021</c:v>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837.68499999999995</c:v>
              </c:pt>
              <c:pt idx="1">
                <c:v>958.82999999999993</c:v>
              </c:pt>
              <c:pt idx="2">
                <c:v>1544.64</c:v>
              </c:pt>
              <c:pt idx="3">
                <c:v>1005.5849999999998</c:v>
              </c:pt>
              <c:pt idx="4">
                <c:v>907.69</c:v>
              </c:pt>
              <c:pt idx="5">
                <c:v>864.53</c:v>
              </c:pt>
              <c:pt idx="6">
                <c:v>763.10500000000002</c:v>
              </c:pt>
              <c:pt idx="7">
                <c:v>1075.9100000000001</c:v>
              </c:pt>
              <c:pt idx="8">
                <c:v>1643.5749999999998</c:v>
              </c:pt>
              <c:pt idx="9">
                <c:v>1400.3999999999996</c:v>
              </c:pt>
              <c:pt idx="10">
                <c:v>1616.1799999999998</c:v>
              </c:pt>
              <c:pt idx="11">
                <c:v>1147.9800000000002</c:v>
              </c:pt>
            </c:numLit>
          </c:val>
          <c:smooth val="0"/>
          <c:extLst>
            <c:ext xmlns:c16="http://schemas.microsoft.com/office/drawing/2014/chart" uri="{C3380CC4-5D6E-409C-BE32-E72D297353CC}">
              <c16:uniqueId val="{00000002-5BFE-4F63-8B62-0DC71C572A1E}"/>
            </c:ext>
          </c:extLst>
        </c:ser>
        <c:ser>
          <c:idx val="3"/>
          <c:order val="3"/>
          <c:tx>
            <c:v>2022</c:v>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1269.4149999999995</c:v>
              </c:pt>
              <c:pt idx="1">
                <c:v>393.63</c:v>
              </c:pt>
              <c:pt idx="2">
                <c:v>1315.2049999999999</c:v>
              </c:pt>
              <c:pt idx="3">
                <c:v>776.45</c:v>
              </c:pt>
              <c:pt idx="4">
                <c:v>1002.37</c:v>
              </c:pt>
              <c:pt idx="5">
                <c:v>1155.3899999999999</c:v>
              </c:pt>
              <c:pt idx="6">
                <c:v>906.73</c:v>
              </c:pt>
              <c:pt idx="7">
                <c:v>244.24499999999998</c:v>
              </c:pt>
              <c:pt idx="8">
                <c:v>0</c:v>
              </c:pt>
              <c:pt idx="9">
                <c:v>0</c:v>
              </c:pt>
              <c:pt idx="10">
                <c:v>0</c:v>
              </c:pt>
              <c:pt idx="11">
                <c:v>0</c:v>
              </c:pt>
            </c:numLit>
          </c:val>
          <c:smooth val="0"/>
          <c:extLst>
            <c:ext xmlns:c16="http://schemas.microsoft.com/office/drawing/2014/chart" uri="{C3380CC4-5D6E-409C-BE32-E72D297353CC}">
              <c16:uniqueId val="{00000003-5BFE-4F63-8B62-0DC71C572A1E}"/>
            </c:ext>
          </c:extLst>
        </c:ser>
        <c:dLbls>
          <c:showLegendKey val="0"/>
          <c:showVal val="0"/>
          <c:showCatName val="0"/>
          <c:showSerName val="0"/>
          <c:showPercent val="0"/>
          <c:showBubbleSize val="0"/>
        </c:dLbls>
        <c:marker val="1"/>
        <c:smooth val="0"/>
        <c:axId val="214812208"/>
        <c:axId val="2085785743"/>
      </c:lineChart>
      <c:catAx>
        <c:axId val="214812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5785743"/>
        <c:crosses val="autoZero"/>
        <c:auto val="1"/>
        <c:lblAlgn val="ctr"/>
        <c:lblOffset val="100"/>
        <c:noMultiLvlLbl val="0"/>
      </c:catAx>
      <c:valAx>
        <c:axId val="2085785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81220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sz="1600" b="1">
                <a:solidFill>
                  <a:sysClr val="windowText" lastClr="000000"/>
                </a:solidFill>
              </a:rPr>
              <a:t>Revenue</a:t>
            </a:r>
            <a:r>
              <a:rPr lang="en-US" sz="1600" b="1" baseline="0">
                <a:solidFill>
                  <a:sysClr val="windowText" lastClr="000000"/>
                </a:solidFill>
              </a:rPr>
              <a:t> vs Units Sold</a:t>
            </a:r>
            <a:endParaRPr lang="en-US" sz="16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70C0"/>
          </a:solidFill>
          <a:ln>
            <a:solidFill>
              <a:srgbClr val="FFFF00">
                <a:alpha val="92000"/>
              </a:srgb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C000"/>
            </a:solidFill>
            <a:round/>
          </a:ln>
          <a:effectLst/>
        </c:spPr>
        <c:marker>
          <c:symbol val="none"/>
        </c:marker>
        <c:dLbl>
          <c:idx val="0"/>
          <c:layout>
            <c:manualLayout>
              <c:x val="2.2222222222222195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C000"/>
            </a:solidFill>
            <a:round/>
          </a:ln>
          <a:effectLst/>
        </c:spPr>
        <c:marker>
          <c:symbol val="none"/>
        </c:marker>
        <c:dLbl>
          <c:idx val="0"/>
          <c:layout>
            <c:manualLayout>
              <c:x val="1.6666666666666666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FFC000"/>
            </a:solidFill>
            <a:round/>
          </a:ln>
          <a:effectLst/>
        </c:spPr>
        <c:marker>
          <c:symbol val="none"/>
        </c:marker>
        <c:dLbl>
          <c:idx val="0"/>
          <c:layout>
            <c:manualLayout>
              <c:x val="1.9444444444444445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FFC000"/>
            </a:solidFill>
            <a:round/>
          </a:ln>
          <a:effectLst/>
        </c:spPr>
        <c:marker>
          <c:symbol val="none"/>
        </c:marker>
        <c:dLbl>
          <c:idx val="0"/>
          <c:layout>
            <c:manualLayout>
              <c:x val="-8.8888888888888892E-2"/>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70C0"/>
          </a:solidFill>
          <a:ln>
            <a:solidFill>
              <a:srgbClr val="FFFF00">
                <a:alpha val="92000"/>
              </a:srgb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FFC000"/>
            </a:solidFill>
            <a:round/>
          </a:ln>
          <a:effectLst/>
        </c:spPr>
        <c:marker>
          <c:symbol val="none"/>
        </c:marker>
        <c:dLbl>
          <c:idx val="0"/>
          <c:layout>
            <c:manualLayout>
              <c:x val="2.2222222222222195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FFC000"/>
            </a:solidFill>
            <a:round/>
          </a:ln>
          <a:effectLst/>
        </c:spPr>
        <c:marker>
          <c:symbol val="none"/>
        </c:marker>
        <c:dLbl>
          <c:idx val="0"/>
          <c:layout>
            <c:manualLayout>
              <c:x val="1.6666666666666666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rgbClr val="FFC000"/>
            </a:solidFill>
            <a:round/>
          </a:ln>
          <a:effectLst/>
        </c:spPr>
        <c:marker>
          <c:symbol val="none"/>
        </c:marker>
        <c:dLbl>
          <c:idx val="0"/>
          <c:layout>
            <c:manualLayout>
              <c:x val="1.9444444444444445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FFC000"/>
            </a:solidFill>
            <a:round/>
          </a:ln>
          <a:effectLst/>
        </c:spPr>
        <c:marker>
          <c:symbol val="none"/>
        </c:marker>
        <c:dLbl>
          <c:idx val="0"/>
          <c:layout>
            <c:manualLayout>
              <c:x val="-8.8888888888888892E-2"/>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070C0"/>
          </a:solidFill>
          <a:ln>
            <a:solidFill>
              <a:srgbClr val="FFFF00">
                <a:alpha val="92000"/>
              </a:srgb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rgbClr val="FFC000"/>
            </a:solidFill>
            <a:round/>
          </a:ln>
          <a:effectLst/>
        </c:spPr>
        <c:marker>
          <c:symbol val="none"/>
        </c:marker>
        <c:dLbl>
          <c:idx val="0"/>
          <c:layout>
            <c:manualLayout>
              <c:x val="2.2222222222222195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rgbClr val="FFC000"/>
            </a:solidFill>
            <a:round/>
          </a:ln>
          <a:effectLst/>
        </c:spPr>
        <c:marker>
          <c:symbol val="none"/>
        </c:marker>
        <c:dLbl>
          <c:idx val="0"/>
          <c:layout>
            <c:manualLayout>
              <c:x val="1.6666666666666666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rgbClr val="FFC000"/>
            </a:solidFill>
            <a:round/>
          </a:ln>
          <a:effectLst/>
        </c:spPr>
        <c:marker>
          <c:symbol val="none"/>
        </c:marker>
        <c:dLbl>
          <c:idx val="0"/>
          <c:layout>
            <c:manualLayout>
              <c:x val="1.9444444444444445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rgbClr val="FFC000"/>
            </a:solidFill>
            <a:round/>
          </a:ln>
          <a:effectLst/>
        </c:spPr>
        <c:marker>
          <c:symbol val="none"/>
        </c:marker>
        <c:dLbl>
          <c:idx val="0"/>
          <c:layout>
            <c:manualLayout>
              <c:x val="-8.8888888888888892E-2"/>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v>Sum of Quantity</c:v>
          </c:tx>
          <c:spPr>
            <a:solidFill>
              <a:srgbClr val="0070C0"/>
            </a:solidFill>
            <a:ln>
              <a:solidFill>
                <a:srgbClr val="FFFF00">
                  <a:alpha val="92000"/>
                </a:srgb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Ara</c:v>
              </c:pt>
              <c:pt idx="1">
                <c:v>Exc</c:v>
              </c:pt>
              <c:pt idx="2">
                <c:v>Lib</c:v>
              </c:pt>
              <c:pt idx="3">
                <c:v>Rob</c:v>
              </c:pt>
            </c:strLit>
          </c:cat>
          <c:val>
            <c:numLit>
              <c:formatCode>General</c:formatCode>
              <c:ptCount val="4"/>
              <c:pt idx="0">
                <c:v>947</c:v>
              </c:pt>
              <c:pt idx="1">
                <c:v>872</c:v>
              </c:pt>
              <c:pt idx="2">
                <c:v>854</c:v>
              </c:pt>
              <c:pt idx="3">
                <c:v>878</c:v>
              </c:pt>
            </c:numLit>
          </c:val>
          <c:extLst>
            <c:ext xmlns:c16="http://schemas.microsoft.com/office/drawing/2014/chart" uri="{C3380CC4-5D6E-409C-BE32-E72D297353CC}">
              <c16:uniqueId val="{00000000-8758-4D67-A1FC-00ECFB9BBF25}"/>
            </c:ext>
          </c:extLst>
        </c:ser>
        <c:dLbls>
          <c:showLegendKey val="0"/>
          <c:showVal val="1"/>
          <c:showCatName val="0"/>
          <c:showSerName val="0"/>
          <c:showPercent val="0"/>
          <c:showBubbleSize val="0"/>
        </c:dLbls>
        <c:gapWidth val="219"/>
        <c:axId val="214767664"/>
        <c:axId val="215854960"/>
      </c:barChart>
      <c:lineChart>
        <c:grouping val="standard"/>
        <c:varyColors val="0"/>
        <c:ser>
          <c:idx val="0"/>
          <c:order val="0"/>
          <c:tx>
            <c:v>Sum of Total Sales</c:v>
          </c:tx>
          <c:spPr>
            <a:ln w="28575" cap="rnd">
              <a:solidFill>
                <a:srgbClr val="FFC000"/>
              </a:solidFill>
              <a:round/>
            </a:ln>
            <a:effectLst/>
          </c:spPr>
          <c:marker>
            <c:symbol val="none"/>
          </c:marker>
          <c:dPt>
            <c:idx val="0"/>
            <c:marker>
              <c:symbol val="none"/>
            </c:marker>
            <c:bubble3D val="0"/>
            <c:spPr>
              <a:ln w="28575" cap="rnd">
                <a:solidFill>
                  <a:srgbClr val="FFC000"/>
                </a:solidFill>
                <a:round/>
              </a:ln>
              <a:effectLst/>
            </c:spPr>
            <c:extLst>
              <c:ext xmlns:c16="http://schemas.microsoft.com/office/drawing/2014/chart" uri="{C3380CC4-5D6E-409C-BE32-E72D297353CC}">
                <c16:uniqueId val="{00000002-8758-4D67-A1FC-00ECFB9BBF25}"/>
              </c:ext>
            </c:extLst>
          </c:dPt>
          <c:dPt>
            <c:idx val="1"/>
            <c:marker>
              <c:symbol val="none"/>
            </c:marker>
            <c:bubble3D val="0"/>
            <c:spPr>
              <a:ln w="28575" cap="rnd">
                <a:solidFill>
                  <a:srgbClr val="FFC000"/>
                </a:solidFill>
                <a:round/>
              </a:ln>
              <a:effectLst/>
            </c:spPr>
            <c:extLst>
              <c:ext xmlns:c16="http://schemas.microsoft.com/office/drawing/2014/chart" uri="{C3380CC4-5D6E-409C-BE32-E72D297353CC}">
                <c16:uniqueId val="{00000004-8758-4D67-A1FC-00ECFB9BBF25}"/>
              </c:ext>
            </c:extLst>
          </c:dPt>
          <c:dPt>
            <c:idx val="2"/>
            <c:marker>
              <c:symbol val="none"/>
            </c:marker>
            <c:bubble3D val="0"/>
            <c:spPr>
              <a:ln w="28575" cap="rnd">
                <a:solidFill>
                  <a:srgbClr val="FFC000"/>
                </a:solidFill>
                <a:round/>
              </a:ln>
              <a:effectLst/>
            </c:spPr>
            <c:extLst>
              <c:ext xmlns:c16="http://schemas.microsoft.com/office/drawing/2014/chart" uri="{C3380CC4-5D6E-409C-BE32-E72D297353CC}">
                <c16:uniqueId val="{00000006-8758-4D67-A1FC-00ECFB9BBF25}"/>
              </c:ext>
            </c:extLst>
          </c:dPt>
          <c:dPt>
            <c:idx val="3"/>
            <c:marker>
              <c:symbol val="none"/>
            </c:marker>
            <c:bubble3D val="0"/>
            <c:spPr>
              <a:ln w="28575" cap="rnd">
                <a:solidFill>
                  <a:srgbClr val="FFC000"/>
                </a:solidFill>
                <a:round/>
              </a:ln>
              <a:effectLst/>
            </c:spPr>
            <c:extLst>
              <c:ext xmlns:c16="http://schemas.microsoft.com/office/drawing/2014/chart" uri="{C3380CC4-5D6E-409C-BE32-E72D297353CC}">
                <c16:uniqueId val="{00000008-8758-4D67-A1FC-00ECFB9BBF25}"/>
              </c:ext>
            </c:extLst>
          </c:dPt>
          <c:dLbls>
            <c:dLbl>
              <c:idx val="0"/>
              <c:layout>
                <c:manualLayout>
                  <c:x val="2.2222222222222195E-2"/>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758-4D67-A1FC-00ECFB9BBF25}"/>
                </c:ext>
              </c:extLst>
            </c:dLbl>
            <c:dLbl>
              <c:idx val="1"/>
              <c:layout>
                <c:manualLayout>
                  <c:x val="1.6666666666666666E-2"/>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758-4D67-A1FC-00ECFB9BBF25}"/>
                </c:ext>
              </c:extLst>
            </c:dLbl>
            <c:dLbl>
              <c:idx val="2"/>
              <c:layout>
                <c:manualLayout>
                  <c:x val="1.9444444444444445E-2"/>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758-4D67-A1FC-00ECFB9BBF25}"/>
                </c:ext>
              </c:extLst>
            </c:dLbl>
            <c:dLbl>
              <c:idx val="3"/>
              <c:layout>
                <c:manualLayout>
                  <c:x val="-8.8888888888888892E-2"/>
                  <c:y val="-9.259259259259258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758-4D67-A1FC-00ECFB9BBF2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Ara</c:v>
              </c:pt>
              <c:pt idx="1">
                <c:v>Exc</c:v>
              </c:pt>
              <c:pt idx="2">
                <c:v>Lib</c:v>
              </c:pt>
              <c:pt idx="3">
                <c:v>Rob</c:v>
              </c:pt>
            </c:strLit>
          </c:cat>
          <c:val>
            <c:numLit>
              <c:formatCode>General</c:formatCode>
              <c:ptCount val="4"/>
              <c:pt idx="0">
                <c:v>11768.494999999999</c:v>
              </c:pt>
              <c:pt idx="1">
                <c:v>12306.439999999997</c:v>
              </c:pt>
              <c:pt idx="2">
                <c:v>12054.074999999995</c:v>
              </c:pt>
              <c:pt idx="3">
                <c:v>9005.2450000000099</c:v>
              </c:pt>
            </c:numLit>
          </c:val>
          <c:smooth val="0"/>
          <c:extLst>
            <c:ext xmlns:c16="http://schemas.microsoft.com/office/drawing/2014/chart" uri="{C3380CC4-5D6E-409C-BE32-E72D297353CC}">
              <c16:uniqueId val="{00000009-8758-4D67-A1FC-00ECFB9BBF25}"/>
            </c:ext>
          </c:extLst>
        </c:ser>
        <c:dLbls>
          <c:showLegendKey val="0"/>
          <c:showVal val="1"/>
          <c:showCatName val="0"/>
          <c:showSerName val="0"/>
          <c:showPercent val="0"/>
          <c:showBubbleSize val="0"/>
        </c:dLbls>
        <c:marker val="1"/>
        <c:smooth val="0"/>
        <c:axId val="214838192"/>
        <c:axId val="215801680"/>
      </c:lineChart>
      <c:catAx>
        <c:axId val="214767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854960"/>
        <c:crosses val="autoZero"/>
        <c:auto val="1"/>
        <c:lblAlgn val="ctr"/>
        <c:lblOffset val="100"/>
        <c:noMultiLvlLbl val="0"/>
      </c:catAx>
      <c:valAx>
        <c:axId val="2158549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767664"/>
        <c:crosses val="autoZero"/>
        <c:crossBetween val="between"/>
      </c:valAx>
      <c:valAx>
        <c:axId val="21580168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838192"/>
        <c:crosses val="max"/>
        <c:crossBetween val="between"/>
      </c:valAx>
      <c:catAx>
        <c:axId val="214838192"/>
        <c:scaling>
          <c:orientation val="minMax"/>
        </c:scaling>
        <c:delete val="1"/>
        <c:axPos val="b"/>
        <c:numFmt formatCode="General" sourceLinked="1"/>
        <c:majorTickMark val="out"/>
        <c:minorTickMark val="none"/>
        <c:tickLblPos val="nextTo"/>
        <c:crossAx val="215801680"/>
        <c:crosses val="autoZero"/>
        <c:auto val="1"/>
        <c:lblAlgn val="ctr"/>
        <c:lblOffset val="100"/>
        <c:noMultiLvlLbl val="0"/>
      </c:catAx>
      <c:spPr>
        <a:noFill/>
        <a:ln>
          <a:noFill/>
        </a:ln>
        <a:effectLst/>
      </c:spPr>
    </c:plotArea>
    <c:legend>
      <c:legendPos val="t"/>
      <c:overlay val="0"/>
      <c:spPr>
        <a:solidFill>
          <a:schemeClr val="bg1"/>
        </a:solidFill>
        <a:ln>
          <a:solidFill>
            <a:schemeClr val="bg1"/>
          </a:solidFill>
        </a:ln>
        <a:effectLst/>
      </c:spPr>
      <c:txPr>
        <a:bodyPr rot="0" spcFirstLastPara="1" vertOverflow="ellipsis" vert="horz" wrap="square" anchor="ctr" anchorCtr="1"/>
        <a:lstStyle/>
        <a:p>
          <a:pPr>
            <a:defRPr sz="900" b="0" i="0" u="none" strike="noStrike" kern="1200" baseline="0">
              <a:ln>
                <a:noFill/>
              </a:ln>
              <a:solidFill>
                <a:schemeClr val="tx1"/>
              </a:solidFill>
              <a:effectLst>
                <a:outerShdw blurRad="50800" dist="50800" dir="5400000" algn="ctr" rotWithShape="0">
                  <a:schemeClr val="bg1"/>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r>
              <a:rPr lang="en-US" sz="1600" b="1">
                <a:solidFill>
                  <a:sysClr val="windowText" lastClr="000000"/>
                </a:solidFill>
              </a:rPr>
              <a:t>Customer Membership Percentage (%)</a:t>
            </a:r>
          </a:p>
        </c:rich>
      </c:tx>
      <c:layout>
        <c:manualLayout>
          <c:xMode val="edge"/>
          <c:yMode val="edge"/>
          <c:x val="0.14826377952755909"/>
          <c:y val="8.7962962962962965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379-4AC0-88A5-F0EB112AC6A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379-4AC0-88A5-F0EB112AC6A7}"/>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2"/>
              <c:pt idx="0">
                <c:v>No</c:v>
              </c:pt>
              <c:pt idx="1">
                <c:v>Yes</c:v>
              </c:pt>
            </c:strLit>
          </c:cat>
          <c:val>
            <c:numLit>
              <c:formatCode>General</c:formatCode>
              <c:ptCount val="2"/>
              <c:pt idx="0">
                <c:v>521</c:v>
              </c:pt>
              <c:pt idx="1">
                <c:v>479</c:v>
              </c:pt>
            </c:numLit>
          </c:val>
          <c:extLst>
            <c:ext xmlns:c16="http://schemas.microsoft.com/office/drawing/2014/chart" uri="{C3380CC4-5D6E-409C-BE32-E72D297353CC}">
              <c16:uniqueId val="{00000004-5379-4AC0-88A5-F0EB112AC6A7}"/>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Customer Membership</a:t>
            </a:r>
            <a:r>
              <a:rPr lang="en-US" sz="1600" b="1" baseline="0">
                <a:solidFill>
                  <a:sysClr val="windowText" lastClr="000000"/>
                </a:solidFill>
              </a:rPr>
              <a:t> by Year</a:t>
            </a:r>
          </a:p>
          <a:p>
            <a:pPr>
              <a:defRPr/>
            </a:pPr>
            <a:r>
              <a:rPr lang="en-US" sz="1200" b="1" baseline="0">
                <a:solidFill>
                  <a:sysClr val="windowText" lastClr="000000"/>
                </a:solidFill>
              </a:rPr>
              <a:t>2019 - 2022</a:t>
            </a:r>
            <a:endParaRPr lang="en-US" sz="12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No</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2019</c:v>
              </c:pt>
              <c:pt idx="1">
                <c:v>2020</c:v>
              </c:pt>
              <c:pt idx="2">
                <c:v>2021</c:v>
              </c:pt>
              <c:pt idx="3">
                <c:v>2022</c:v>
              </c:pt>
            </c:strLit>
          </c:cat>
          <c:val>
            <c:numLit>
              <c:formatCode>General</c:formatCode>
              <c:ptCount val="4"/>
              <c:pt idx="0">
                <c:v>127</c:v>
              </c:pt>
              <c:pt idx="1">
                <c:v>131</c:v>
              </c:pt>
              <c:pt idx="2">
                <c:v>179</c:v>
              </c:pt>
              <c:pt idx="3">
                <c:v>84</c:v>
              </c:pt>
            </c:numLit>
          </c:val>
          <c:extLst>
            <c:ext xmlns:c16="http://schemas.microsoft.com/office/drawing/2014/chart" uri="{C3380CC4-5D6E-409C-BE32-E72D297353CC}">
              <c16:uniqueId val="{00000000-1A7C-4D54-9DCE-E859716FB335}"/>
            </c:ext>
          </c:extLst>
        </c:ser>
        <c:ser>
          <c:idx val="1"/>
          <c:order val="1"/>
          <c:tx>
            <c:v>Yes</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2019</c:v>
              </c:pt>
              <c:pt idx="1">
                <c:v>2020</c:v>
              </c:pt>
              <c:pt idx="2">
                <c:v>2021</c:v>
              </c:pt>
              <c:pt idx="3">
                <c:v>2022</c:v>
              </c:pt>
            </c:strLit>
          </c:cat>
          <c:val>
            <c:numLit>
              <c:formatCode>General</c:formatCode>
              <c:ptCount val="4"/>
              <c:pt idx="0">
                <c:v>132</c:v>
              </c:pt>
              <c:pt idx="1">
                <c:v>132</c:v>
              </c:pt>
              <c:pt idx="2">
                <c:v>133</c:v>
              </c:pt>
              <c:pt idx="3">
                <c:v>82</c:v>
              </c:pt>
            </c:numLit>
          </c:val>
          <c:extLst>
            <c:ext xmlns:c16="http://schemas.microsoft.com/office/drawing/2014/chart" uri="{C3380CC4-5D6E-409C-BE32-E72D297353CC}">
              <c16:uniqueId val="{00000001-1A7C-4D54-9DCE-E859716FB335}"/>
            </c:ext>
          </c:extLst>
        </c:ser>
        <c:dLbls>
          <c:dLblPos val="outEnd"/>
          <c:showLegendKey val="0"/>
          <c:showVal val="1"/>
          <c:showCatName val="0"/>
          <c:showSerName val="0"/>
          <c:showPercent val="0"/>
          <c:showBubbleSize val="0"/>
        </c:dLbls>
        <c:gapWidth val="182"/>
        <c:axId val="498972127"/>
        <c:axId val="215805040"/>
      </c:barChart>
      <c:catAx>
        <c:axId val="49897212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805040"/>
        <c:crosses val="autoZero"/>
        <c:auto val="1"/>
        <c:lblAlgn val="ctr"/>
        <c:lblOffset val="100"/>
        <c:noMultiLvlLbl val="0"/>
      </c:catAx>
      <c:valAx>
        <c:axId val="21580504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972127"/>
        <c:crosses val="autoZero"/>
        <c:crossBetween val="between"/>
        <c:minorUnit val="20"/>
      </c:valAx>
      <c:spPr>
        <a:noFill/>
        <a:ln>
          <a:noFill/>
        </a:ln>
        <a:effectLst/>
      </c:spPr>
    </c:plotArea>
    <c:legend>
      <c:legendPos val="t"/>
      <c:layout>
        <c:manualLayout>
          <c:xMode val="edge"/>
          <c:yMode val="edge"/>
          <c:x val="0.42570866141732289"/>
          <c:y val="0.22574884902962147"/>
          <c:w val="0.14302712160979877"/>
          <c:h val="7.745319591920962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161441</xdr:colOff>
      <xdr:row>1</xdr:row>
      <xdr:rowOff>28575</xdr:rowOff>
    </xdr:from>
    <xdr:to>
      <xdr:col>26</xdr:col>
      <xdr:colOff>48432</xdr:colOff>
      <xdr:row>4</xdr:row>
      <xdr:rowOff>161925</xdr:rowOff>
    </xdr:to>
    <xdr:sp macro="" textlink="">
      <xdr:nvSpPr>
        <xdr:cNvPr id="2" name="TextBox 1">
          <a:extLst>
            <a:ext uri="{FF2B5EF4-FFF2-40B4-BE49-F238E27FC236}">
              <a16:creationId xmlns:a16="http://schemas.microsoft.com/office/drawing/2014/main" id="{D81355D9-68CC-44AC-A94E-55A9B66E4BD6}"/>
            </a:ext>
          </a:extLst>
        </xdr:cNvPr>
        <xdr:cNvSpPr txBox="1"/>
      </xdr:nvSpPr>
      <xdr:spPr>
        <a:xfrm>
          <a:off x="161441" y="219075"/>
          <a:ext cx="15736591" cy="70485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solidFill>
                <a:schemeClr val="bg1"/>
              </a:solidFill>
              <a:latin typeface="Aptos ExtraBold" panose="020F0502020204030204" pitchFamily="34" charset="0"/>
            </a:rPr>
            <a:t>COFFEE</a:t>
          </a:r>
          <a:r>
            <a:rPr lang="en-US" sz="2800" b="1" baseline="0">
              <a:solidFill>
                <a:schemeClr val="bg1"/>
              </a:solidFill>
              <a:latin typeface="Aptos ExtraBold" panose="020F0502020204030204" pitchFamily="34" charset="0"/>
            </a:rPr>
            <a:t> SALES DASHBOARD</a:t>
          </a:r>
          <a:endParaRPr lang="en-US" sz="2800" b="1">
            <a:solidFill>
              <a:schemeClr val="bg1"/>
            </a:solidFill>
            <a:latin typeface="Aptos ExtraBold" panose="020F0502020204030204" pitchFamily="34" charset="0"/>
          </a:endParaRPr>
        </a:p>
      </xdr:txBody>
    </xdr:sp>
    <xdr:clientData/>
  </xdr:twoCellAnchor>
  <xdr:twoCellAnchor editAs="oneCell">
    <xdr:from>
      <xdr:col>17</xdr:col>
      <xdr:colOff>15066</xdr:colOff>
      <xdr:row>1</xdr:row>
      <xdr:rowOff>82550</xdr:rowOff>
    </xdr:from>
    <xdr:to>
      <xdr:col>17</xdr:col>
      <xdr:colOff>583184</xdr:colOff>
      <xdr:row>4</xdr:row>
      <xdr:rowOff>92159</xdr:rowOff>
    </xdr:to>
    <xdr:pic>
      <xdr:nvPicPr>
        <xdr:cNvPr id="3" name="Picture 2" descr="Latte Cup with solid fill">
          <a:extLst>
            <a:ext uri="{FF2B5EF4-FFF2-40B4-BE49-F238E27FC236}">
              <a16:creationId xmlns:a16="http://schemas.microsoft.com/office/drawing/2014/main" id="{2292FD4C-24E4-4ADB-A466-0807CF0D805E}"/>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colorTemperature colorTemp="11200"/>
                  </a14:imgEffect>
                  <a14:imgEffect>
                    <a14:saturation sat="0"/>
                  </a14:imgEffect>
                </a14:imgLayer>
              </a14:imgProps>
            </a:ext>
          </a:extLst>
        </a:blip>
        <a:stretch>
          <a:fillRect/>
        </a:stretch>
      </xdr:blipFill>
      <xdr:spPr>
        <a:xfrm>
          <a:off x="10378266" y="273050"/>
          <a:ext cx="568118" cy="581109"/>
        </a:xfrm>
        <a:prstGeom prst="rect">
          <a:avLst/>
        </a:prstGeom>
        <a:solidFill>
          <a:schemeClr val="accent2"/>
        </a:solidFill>
        <a:ln>
          <a:noFill/>
        </a:ln>
      </xdr:spPr>
    </xdr:pic>
    <xdr:clientData/>
  </xdr:twoCellAnchor>
  <xdr:twoCellAnchor>
    <xdr:from>
      <xdr:col>5</xdr:col>
      <xdr:colOff>232186</xdr:colOff>
      <xdr:row>21</xdr:row>
      <xdr:rowOff>69541</xdr:rowOff>
    </xdr:from>
    <xdr:to>
      <xdr:col>15</xdr:col>
      <xdr:colOff>476250</xdr:colOff>
      <xdr:row>36</xdr:row>
      <xdr:rowOff>144319</xdr:rowOff>
    </xdr:to>
    <xdr:graphicFrame macro="">
      <xdr:nvGraphicFramePr>
        <xdr:cNvPr id="4" name="Chart 3">
          <a:extLst>
            <a:ext uri="{FF2B5EF4-FFF2-40B4-BE49-F238E27FC236}">
              <a16:creationId xmlns:a16="http://schemas.microsoft.com/office/drawing/2014/main" id="{A7994F93-5BC8-4BA3-A195-7EE9EE7500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28863</xdr:colOff>
      <xdr:row>21</xdr:row>
      <xdr:rowOff>96691</xdr:rowOff>
    </xdr:from>
    <xdr:to>
      <xdr:col>26</xdr:col>
      <xdr:colOff>4257</xdr:colOff>
      <xdr:row>36</xdr:row>
      <xdr:rowOff>173182</xdr:rowOff>
    </xdr:to>
    <xdr:graphicFrame macro="">
      <xdr:nvGraphicFramePr>
        <xdr:cNvPr id="5" name="Chart 4">
          <a:extLst>
            <a:ext uri="{FF2B5EF4-FFF2-40B4-BE49-F238E27FC236}">
              <a16:creationId xmlns:a16="http://schemas.microsoft.com/office/drawing/2014/main" id="{58332CFA-3DB5-46BC-B39E-75AF8006F0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144318</xdr:colOff>
      <xdr:row>5</xdr:row>
      <xdr:rowOff>88900</xdr:rowOff>
    </xdr:from>
    <xdr:to>
      <xdr:col>25</xdr:col>
      <xdr:colOff>596839</xdr:colOff>
      <xdr:row>20</xdr:row>
      <xdr:rowOff>145297</xdr:rowOff>
    </xdr:to>
    <xdr:graphicFrame macro="">
      <xdr:nvGraphicFramePr>
        <xdr:cNvPr id="6" name="Chart 5">
          <a:extLst>
            <a:ext uri="{FF2B5EF4-FFF2-40B4-BE49-F238E27FC236}">
              <a16:creationId xmlns:a16="http://schemas.microsoft.com/office/drawing/2014/main" id="{D989815A-7581-4055-8F23-9AF9E50F74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562842</xdr:colOff>
      <xdr:row>5</xdr:row>
      <xdr:rowOff>88882</xdr:rowOff>
    </xdr:from>
    <xdr:to>
      <xdr:col>18</xdr:col>
      <xdr:colOff>34247</xdr:colOff>
      <xdr:row>20</xdr:row>
      <xdr:rowOff>129886</xdr:rowOff>
    </xdr:to>
    <xdr:graphicFrame macro="">
      <xdr:nvGraphicFramePr>
        <xdr:cNvPr id="7" name="Chart 6">
          <a:extLst>
            <a:ext uri="{FF2B5EF4-FFF2-40B4-BE49-F238E27FC236}">
              <a16:creationId xmlns:a16="http://schemas.microsoft.com/office/drawing/2014/main" id="{C9224D7C-8411-4E14-831E-0BDCE8CE1C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165834</xdr:colOff>
      <xdr:row>5</xdr:row>
      <xdr:rowOff>58127</xdr:rowOff>
    </xdr:from>
    <xdr:to>
      <xdr:col>5</xdr:col>
      <xdr:colOff>0</xdr:colOff>
      <xdr:row>12</xdr:row>
      <xdr:rowOff>85481</xdr:rowOff>
    </xdr:to>
    <mc:AlternateContent xmlns:mc="http://schemas.openxmlformats.org/markup-compatibility/2006">
      <mc:Choice xmlns:tsle="http://schemas.microsoft.com/office/drawing/2012/timeslicer" Requires="tsle">
        <xdr:graphicFrame macro="">
          <xdr:nvGraphicFramePr>
            <xdr:cNvPr id="8" name="Order Date">
              <a:extLst>
                <a:ext uri="{FF2B5EF4-FFF2-40B4-BE49-F238E27FC236}">
                  <a16:creationId xmlns:a16="http://schemas.microsoft.com/office/drawing/2014/main" id="{0330FBAF-0959-4C08-8C72-C8C947263A92}"/>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65834" y="1025510"/>
              <a:ext cx="2885143" cy="138169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179508</xdr:colOff>
      <xdr:row>12</xdr:row>
      <xdr:rowOff>181464</xdr:rowOff>
    </xdr:from>
    <xdr:to>
      <xdr:col>5</xdr:col>
      <xdr:colOff>14431</xdr:colOff>
      <xdr:row>21</xdr:row>
      <xdr:rowOff>12211</xdr:rowOff>
    </xdr:to>
    <mc:AlternateContent xmlns:mc="http://schemas.openxmlformats.org/markup-compatibility/2006">
      <mc:Choice xmlns:a14="http://schemas.microsoft.com/office/drawing/2010/main" Requires="a14">
        <xdr:graphicFrame macro="">
          <xdr:nvGraphicFramePr>
            <xdr:cNvPr id="9" name="Coffee Type">
              <a:extLst>
                <a:ext uri="{FF2B5EF4-FFF2-40B4-BE49-F238E27FC236}">
                  <a16:creationId xmlns:a16="http://schemas.microsoft.com/office/drawing/2014/main" id="{D88591F5-79A5-46C4-868E-E90420597C4D}"/>
                </a:ext>
              </a:extLst>
            </xdr:cNvPr>
            <xdr:cNvGraphicFramePr/>
          </xdr:nvGraphicFramePr>
          <xdr:xfrm>
            <a:off x="0" y="0"/>
            <a:ext cx="0" cy="0"/>
          </xdr:xfrm>
          <a:graphic>
            <a:graphicData uri="http://schemas.microsoft.com/office/drawing/2010/slicer">
              <sle:slicer xmlns:sle="http://schemas.microsoft.com/office/drawing/2010/slicer" name="Coffee Type"/>
            </a:graphicData>
          </a:graphic>
        </xdr:graphicFrame>
      </mc:Choice>
      <mc:Fallback>
        <xdr:sp macro="" textlink="">
          <xdr:nvSpPr>
            <xdr:cNvPr id="0" name=""/>
            <xdr:cNvSpPr>
              <a:spLocks noTextEdit="1"/>
            </xdr:cNvSpPr>
          </xdr:nvSpPr>
          <xdr:spPr>
            <a:xfrm>
              <a:off x="179508" y="2503183"/>
              <a:ext cx="2885900" cy="15720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179509</xdr:colOff>
      <xdr:row>21</xdr:row>
      <xdr:rowOff>95982</xdr:rowOff>
    </xdr:from>
    <xdr:to>
      <xdr:col>5</xdr:col>
      <xdr:colOff>21165</xdr:colOff>
      <xdr:row>28</xdr:row>
      <xdr:rowOff>12212</xdr:rowOff>
    </xdr:to>
    <mc:AlternateContent xmlns:mc="http://schemas.openxmlformats.org/markup-compatibility/2006">
      <mc:Choice xmlns:a14="http://schemas.microsoft.com/office/drawing/2010/main" Requires="a14">
        <xdr:graphicFrame macro="">
          <xdr:nvGraphicFramePr>
            <xdr:cNvPr id="10" name="Roast Type">
              <a:extLst>
                <a:ext uri="{FF2B5EF4-FFF2-40B4-BE49-F238E27FC236}">
                  <a16:creationId xmlns:a16="http://schemas.microsoft.com/office/drawing/2014/main" id="{223A7E0F-49CA-42E1-8FC1-5551E215C858}"/>
                </a:ext>
              </a:extLst>
            </xdr:cNvPr>
            <xdr:cNvGraphicFramePr/>
          </xdr:nvGraphicFramePr>
          <xdr:xfrm>
            <a:off x="0" y="0"/>
            <a:ext cx="0" cy="0"/>
          </xdr:xfrm>
          <a:graphic>
            <a:graphicData uri="http://schemas.microsoft.com/office/drawing/2010/slicer">
              <sle:slicer xmlns:sle="http://schemas.microsoft.com/office/drawing/2010/slicer" name="Roast Type"/>
            </a:graphicData>
          </a:graphic>
        </xdr:graphicFrame>
      </mc:Choice>
      <mc:Fallback>
        <xdr:sp macro="" textlink="">
          <xdr:nvSpPr>
            <xdr:cNvPr id="0" name=""/>
            <xdr:cNvSpPr>
              <a:spLocks noTextEdit="1"/>
            </xdr:cNvSpPr>
          </xdr:nvSpPr>
          <xdr:spPr>
            <a:xfrm>
              <a:off x="179509" y="4158990"/>
              <a:ext cx="2892633" cy="12705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155086</xdr:colOff>
      <xdr:row>28</xdr:row>
      <xdr:rowOff>108194</xdr:rowOff>
    </xdr:from>
    <xdr:to>
      <xdr:col>5</xdr:col>
      <xdr:colOff>0</xdr:colOff>
      <xdr:row>36</xdr:row>
      <xdr:rowOff>134327</xdr:rowOff>
    </xdr:to>
    <mc:AlternateContent xmlns:mc="http://schemas.openxmlformats.org/markup-compatibility/2006">
      <mc:Choice xmlns:a14="http://schemas.microsoft.com/office/drawing/2010/main" Requires="a14">
        <xdr:graphicFrame macro="">
          <xdr:nvGraphicFramePr>
            <xdr:cNvPr id="11" name="Size">
              <a:extLst>
                <a:ext uri="{FF2B5EF4-FFF2-40B4-BE49-F238E27FC236}">
                  <a16:creationId xmlns:a16="http://schemas.microsoft.com/office/drawing/2014/main" id="{6E772FA5-04F1-4B56-BA3C-2FB4E56121F1}"/>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55086" y="5525538"/>
              <a:ext cx="2895891" cy="15739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129885</xdr:colOff>
      <xdr:row>5</xdr:row>
      <xdr:rowOff>57726</xdr:rowOff>
    </xdr:from>
    <xdr:to>
      <xdr:col>9</xdr:col>
      <xdr:colOff>432954</xdr:colOff>
      <xdr:row>12</xdr:row>
      <xdr:rowOff>144317</xdr:rowOff>
    </xdr:to>
    <xdr:sp macro="" textlink="'[1]Revenue Units Sold'!B9">
      <xdr:nvSpPr>
        <xdr:cNvPr id="12" name="Rectangle 11">
          <a:extLst>
            <a:ext uri="{FF2B5EF4-FFF2-40B4-BE49-F238E27FC236}">
              <a16:creationId xmlns:a16="http://schemas.microsoft.com/office/drawing/2014/main" id="{94DC36D7-EF66-4764-8D4B-FE2BD26172F6}"/>
            </a:ext>
          </a:extLst>
        </xdr:cNvPr>
        <xdr:cNvSpPr/>
      </xdr:nvSpPr>
      <xdr:spPr>
        <a:xfrm>
          <a:off x="3177885" y="1010226"/>
          <a:ext cx="2741469" cy="1420091"/>
        </a:xfrm>
        <a:prstGeom prst="rect">
          <a:avLst/>
        </a:prstGeom>
      </xdr:spPr>
      <xdr:style>
        <a:lnRef idx="3">
          <a:schemeClr val="lt1"/>
        </a:lnRef>
        <a:fillRef idx="1">
          <a:schemeClr val="accent2"/>
        </a:fillRef>
        <a:effectRef idx="1">
          <a:schemeClr val="accent2"/>
        </a:effectRef>
        <a:fontRef idx="minor">
          <a:schemeClr val="lt1"/>
        </a:fontRef>
      </xdr:style>
      <xdr:txBody>
        <a:bodyPr vertOverflow="clip" horzOverflow="clip" rtlCol="0" anchor="ctr"/>
        <a:lstStyle/>
        <a:p>
          <a:pPr algn="ctr"/>
          <a:fld id="{176C11A9-45F0-46ED-90AC-3A1844430A29}" type="TxLink">
            <a:rPr lang="en-US" sz="2400" b="1" i="0" u="none" strike="noStrike">
              <a:solidFill>
                <a:schemeClr val="bg1"/>
              </a:solidFill>
              <a:latin typeface="Aptos Narrow"/>
            </a:rPr>
            <a:pPr algn="ctr"/>
            <a:t>MYR 45,134.26</a:t>
          </a:fld>
          <a:endParaRPr lang="en-US" sz="2400" b="1">
            <a:solidFill>
              <a:schemeClr val="bg1"/>
            </a:solidFill>
          </a:endParaRPr>
        </a:p>
      </xdr:txBody>
    </xdr:sp>
    <xdr:clientData/>
  </xdr:twoCellAnchor>
  <xdr:twoCellAnchor>
    <xdr:from>
      <xdr:col>5</xdr:col>
      <xdr:colOff>158748</xdr:colOff>
      <xdr:row>13</xdr:row>
      <xdr:rowOff>43297</xdr:rowOff>
    </xdr:from>
    <xdr:to>
      <xdr:col>9</xdr:col>
      <xdr:colOff>461818</xdr:colOff>
      <xdr:row>20</xdr:row>
      <xdr:rowOff>72160</xdr:rowOff>
    </xdr:to>
    <xdr:sp macro="" textlink="'[1]Revenue Units Sold'!C9">
      <xdr:nvSpPr>
        <xdr:cNvPr id="13" name="Rectangle 12">
          <a:extLst>
            <a:ext uri="{FF2B5EF4-FFF2-40B4-BE49-F238E27FC236}">
              <a16:creationId xmlns:a16="http://schemas.microsoft.com/office/drawing/2014/main" id="{3D417A52-17EA-45DB-96E9-6D1BDAA2A60F}"/>
            </a:ext>
          </a:extLst>
        </xdr:cNvPr>
        <xdr:cNvSpPr/>
      </xdr:nvSpPr>
      <xdr:spPr>
        <a:xfrm>
          <a:off x="3206748" y="2519797"/>
          <a:ext cx="2741470" cy="1362363"/>
        </a:xfrm>
        <a:prstGeom prst="rect">
          <a:avLst/>
        </a:prstGeom>
      </xdr:spPr>
      <xdr:style>
        <a:lnRef idx="3">
          <a:schemeClr val="lt1"/>
        </a:lnRef>
        <a:fillRef idx="1">
          <a:schemeClr val="accent2"/>
        </a:fillRef>
        <a:effectRef idx="1">
          <a:schemeClr val="accent2"/>
        </a:effectRef>
        <a:fontRef idx="minor">
          <a:schemeClr val="lt1"/>
        </a:fontRef>
      </xdr:style>
      <xdr:txBody>
        <a:bodyPr vertOverflow="clip" horzOverflow="clip" rtlCol="0" anchor="ctr"/>
        <a:lstStyle/>
        <a:p>
          <a:pPr algn="ctr"/>
          <a:fld id="{D748C648-BA5B-4B1A-BA57-858081F103B6}" type="TxLink">
            <a:rPr lang="en-US" sz="2400" b="1" i="0" u="none" strike="noStrike">
              <a:solidFill>
                <a:schemeClr val="bg1"/>
              </a:solidFill>
              <a:latin typeface="Aptos Narrow"/>
            </a:rPr>
            <a:pPr algn="ctr"/>
            <a:t>3,551</a:t>
          </a:fld>
          <a:endParaRPr lang="en-US" sz="2400" b="1">
            <a:solidFill>
              <a:schemeClr val="bg1"/>
            </a:solidFill>
          </a:endParaRPr>
        </a:p>
      </xdr:txBody>
    </xdr:sp>
    <xdr:clientData/>
  </xdr:twoCellAnchor>
  <xdr:oneCellAnchor>
    <xdr:from>
      <xdr:col>5</xdr:col>
      <xdr:colOff>158750</xdr:colOff>
      <xdr:row>6</xdr:row>
      <xdr:rowOff>14431</xdr:rowOff>
    </xdr:from>
    <xdr:ext cx="2641023" cy="405432"/>
    <xdr:sp macro="" textlink="">
      <xdr:nvSpPr>
        <xdr:cNvPr id="14" name="TextBox 13">
          <a:extLst>
            <a:ext uri="{FF2B5EF4-FFF2-40B4-BE49-F238E27FC236}">
              <a16:creationId xmlns:a16="http://schemas.microsoft.com/office/drawing/2014/main" id="{EF246B49-C142-469B-A5AE-E188FD484076}"/>
            </a:ext>
          </a:extLst>
        </xdr:cNvPr>
        <xdr:cNvSpPr txBox="1"/>
      </xdr:nvSpPr>
      <xdr:spPr>
        <a:xfrm>
          <a:off x="3206750" y="1157431"/>
          <a:ext cx="2641023"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2000" b="1">
              <a:solidFill>
                <a:schemeClr val="bg1"/>
              </a:solidFill>
            </a:rPr>
            <a:t>Total Revenue</a:t>
          </a:r>
        </a:p>
      </xdr:txBody>
    </xdr:sp>
    <xdr:clientData/>
  </xdr:oneCellAnchor>
  <xdr:oneCellAnchor>
    <xdr:from>
      <xdr:col>5</xdr:col>
      <xdr:colOff>202045</xdr:colOff>
      <xdr:row>13</xdr:row>
      <xdr:rowOff>173183</xdr:rowOff>
    </xdr:from>
    <xdr:ext cx="2641023" cy="405432"/>
    <xdr:sp macro="" textlink="">
      <xdr:nvSpPr>
        <xdr:cNvPr id="15" name="TextBox 14">
          <a:extLst>
            <a:ext uri="{FF2B5EF4-FFF2-40B4-BE49-F238E27FC236}">
              <a16:creationId xmlns:a16="http://schemas.microsoft.com/office/drawing/2014/main" id="{485594EC-20E4-45CF-958C-C885F422A9F3}"/>
            </a:ext>
          </a:extLst>
        </xdr:cNvPr>
        <xdr:cNvSpPr txBox="1"/>
      </xdr:nvSpPr>
      <xdr:spPr>
        <a:xfrm>
          <a:off x="3250045" y="2649683"/>
          <a:ext cx="2641023"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2000" b="1">
              <a:solidFill>
                <a:schemeClr val="bg1"/>
              </a:solidFill>
            </a:rPr>
            <a:t>Total</a:t>
          </a:r>
          <a:r>
            <a:rPr lang="en-US" sz="2000" b="1" baseline="0">
              <a:solidFill>
                <a:schemeClr val="bg1"/>
              </a:solidFill>
            </a:rPr>
            <a:t> Units Sold</a:t>
          </a:r>
          <a:endParaRPr lang="en-US" sz="2000" b="1">
            <a:solidFill>
              <a:schemeClr val="bg1"/>
            </a:solidFill>
          </a:endParaRPr>
        </a:p>
      </xdr:txBody>
    </xdr:sp>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USER\Downloads\Coffee%20Sales%20Dataset.xlsx" TargetMode="External"/><Relationship Id="rId1" Type="http://schemas.openxmlformats.org/officeDocument/2006/relationships/externalLinkPath" Target="Coffee%20Sales%20Datase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rder"/>
      <sheetName val="Product"/>
      <sheetName val="Customer"/>
      <sheetName val="Masterfile"/>
      <sheetName val="Revenue Trend"/>
      <sheetName val="Revenue Units Sold"/>
      <sheetName val="Detail1"/>
      <sheetName val="Membership Loyalty"/>
      <sheetName val="EXCEL DASHBOARD"/>
      <sheetName val="Order (2)"/>
      <sheetName val="Product (2)"/>
      <sheetName val="Customer (2)"/>
    </sheetNames>
    <sheetDataSet>
      <sheetData sheetId="0"/>
      <sheetData sheetId="1"/>
      <sheetData sheetId="2"/>
      <sheetData sheetId="3"/>
      <sheetData sheetId="4"/>
      <sheetData sheetId="5">
        <row r="3">
          <cell r="A3" t="str">
            <v>Row Labels</v>
          </cell>
        </row>
        <row r="9">
          <cell r="B9">
            <v>45134.255000000005</v>
          </cell>
          <cell r="C9">
            <v>3551</v>
          </cell>
        </row>
      </sheetData>
      <sheetData sheetId="6"/>
      <sheetData sheetId="7"/>
      <sheetData sheetId="8"/>
      <sheetData sheetId="9"/>
      <sheetData sheetId="10"/>
      <sheetData sheetId="11"/>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Coffee%20Sales%20Dataset.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62.226341319445" createdVersion="8" refreshedVersion="8" minRefreshableVersion="3" recordCount="1000" xr:uid="{4C8239C0-37D5-4FE5-B9D5-EA22340D5513}">
  <cacheSource type="worksheet">
    <worksheetSource name="Masterfile" r:id="rId2"/>
  </cacheSource>
  <cacheFields count="17">
    <cacheField name="Order ID" numFmtId="0">
      <sharedItems/>
    </cacheField>
    <cacheField name="Order Date" numFmtId="22">
      <sharedItems containsSemiMixedTypes="0" containsNonDate="0" containsDate="1" containsString="0" minDate="2019-01-02T00:00:00" maxDate="2022-08-20T00:00:00" count="689">
        <d v="2019-09-05T00:00:00"/>
        <d v="2022-07-02T00:00:00"/>
        <d v="2021-11-24T00:00:00"/>
        <d v="2021-06-17T00:00:00"/>
        <d v="2019-06-28T00:00:00"/>
        <d v="2021-07-15T00:00:00"/>
        <d v="2020-04-11T00:00:00"/>
        <d v="2021-08-04T00:00:00"/>
        <d v="2022-01-21T00:00:00"/>
        <d v="2019-10-19T00:00:00"/>
        <d v="2022-05-20T00:00:00"/>
        <d v="2019-01-02T00:00:00"/>
        <d v="2019-03-20T00:00:00"/>
        <d v="2021-03-08T00:00:00"/>
        <d v="2020-12-04T00:00:00"/>
        <d v="2020-10-28T00:00:00"/>
        <d v="2019-10-08T00:00:00"/>
        <d v="2020-05-22T00:00:00"/>
        <d v="2019-02-20T00:00:00"/>
        <d v="2022-04-05T00:00:00"/>
        <d v="2022-06-07T00:00:00"/>
        <d v="2021-09-15T00:00:00"/>
        <d v="2021-07-17T00:00:00"/>
        <d v="2019-06-13T00:00:00"/>
        <d v="2022-02-11T00:00:00"/>
        <d v="2021-01-22T00:00:00"/>
        <d v="2022-08-02T00:00:00"/>
        <d v="2021-09-25T00:00:00"/>
        <d v="2021-06-01T00:00:00"/>
        <d v="2020-10-24T00:00:00"/>
        <d v="2020-09-11T00:00:00"/>
        <d v="2020-06-29T00:00:00"/>
        <d v="2020-04-25T00:00:00"/>
        <d v="2021-02-06T00:00:00"/>
        <d v="2022-07-07T00:00:00"/>
        <d v="2019-04-25T00:00:00"/>
        <d v="2019-05-22T00:00:00"/>
        <d v="2021-04-19T00:00:00"/>
        <d v="2021-10-04T00:00:00"/>
        <d v="2022-01-31T00:00:00"/>
        <d v="2019-11-07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2-05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19-11-21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1-16T00:00:00"/>
        <d v="2020-02-18T00:00:00"/>
        <d v="2021-06-13T00:00:00"/>
        <d v="2022-08-06T00:00:00"/>
        <d v="2021-11-23T00:00:00"/>
        <d v="2021-10-13T00:00:00"/>
        <d v="2022-04-25T00:00:00"/>
        <d v="2021-06-08T00:00:00"/>
        <d v="2020-11-21T00:00:00"/>
        <d v="2019-04-22T00:00:00"/>
        <d v="2022-05-02T00:00:00"/>
        <d v="2020-02-11T00:00:00"/>
        <d v="2021-05-08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11-13T00:00:00"/>
        <d v="2019-07-30T00:00:00"/>
        <d v="2020-12-05T00:00:00"/>
        <d v="2021-06-26T00:00:00"/>
        <d v="2019-07-20T00:00:00"/>
        <d v="2022-07-14T00:00:00"/>
        <d v="2021-10-03T00:00:00"/>
        <d v="2020-06-02T00:00:00"/>
        <d v="2021-02-22T00:00:00"/>
        <d v="2019-04-24T00:00:00"/>
        <d v="2019-06-04T00:00:00"/>
        <d v="2022-08-08T00:00:00"/>
        <d v="2020-06-07T00:00:00"/>
        <d v="2019-08-12T00:00:00"/>
        <d v="2019-09-04T00:00:00"/>
        <d v="2019-10-04T00:00:00"/>
        <d v="2020-02-24T00:00:00"/>
        <d v="2021-08-26T00:00:00"/>
        <d v="2020-06-13T00:00:00"/>
        <d v="2021-03-01T00:00:00"/>
        <d v="2019-03-04T00:00:00"/>
        <d v="2019-10-13T00:00:00"/>
        <d v="2019-08-15T00:00:00"/>
        <d v="2020-01-19T00:00:00"/>
        <d v="2021-05-28T00:00:00"/>
        <d v="2022-01-15T00:00:00"/>
        <d v="2019-12-04T00:00:00"/>
        <d v="2022-07-01T00:00:00"/>
        <d v="2019-05-07T00:00:00"/>
        <d v="2020-08-23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0-02-05T00:00:00"/>
        <d v="2022-06-30T00:00:00"/>
        <d v="2020-10-21T00:00:00"/>
        <d v="2020-09-23T00:00:00"/>
        <d v="2019-03-08T00:00:00"/>
        <d v="2021-06-30T00:00:00"/>
        <d v="2019-08-13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19-06-08T00:00:00"/>
        <d v="2020-02-08T00:00:00"/>
        <d v="2022-07-25T00:00:00"/>
        <d v="2021-03-19T00:00:00"/>
        <d v="2020-05-11T00:00:00"/>
        <d v="2019-10-09T00:00:00"/>
        <d v="2021-02-20T00:00:00"/>
        <d v="2021-10-10T00:00:00"/>
        <d v="2021-08-05T00:00:00"/>
        <d v="2020-09-19T00:00:00"/>
        <d v="2020-05-03T00:00:00"/>
        <d v="2019-07-08T00:00:00"/>
        <d v="2020-09-27T00:00:00"/>
        <d v="2022-02-28T00:00:00"/>
        <d v="2019-09-02T00:00:00"/>
        <d v="2021-08-30T00:00:00"/>
        <d v="2021-06-04T00:00:00"/>
        <d v="2020-11-24T00:00:00"/>
        <d v="2019-11-16T00:00:00"/>
        <d v="2021-11-06T00:00:00"/>
        <d v="2020-06-21T00:00:00"/>
        <d v="2020-07-13T00:00:00"/>
        <d v="2022-02-17T00:00:00"/>
        <d v="2020-12-19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3-13T00:00:00"/>
        <d v="2020-11-03T00:00:00"/>
        <d v="2020-04-23T00:00:00"/>
        <d v="2020-02-06T00:00:00"/>
        <d v="2021-03-12T00:00:00"/>
        <d v="2020-08-03T00:00:00"/>
        <d v="2020-04-29T00:00:00"/>
        <d v="2019-05-02T00:00:00"/>
        <d v="2019-02-16T00:00:00"/>
        <d v="2021-11-27T00:00:00"/>
        <d v="2021-12-02T00:00:00"/>
        <d v="2019-01-06T00:00:00"/>
        <d v="2021-05-05T00:00:00"/>
        <d v="2021-10-23T00:00:00"/>
        <d v="2019-12-16T00:00:00"/>
        <d v="2019-05-18T00:00:00"/>
        <d v="2019-07-14T00:00:00"/>
        <d v="2020-11-13T00:00:00"/>
        <d v="2020-07-16T00:00:00"/>
        <d v="2022-03-20T00:00:00"/>
        <d v="2020-11-12T00:00:00"/>
        <d v="2019-10-05T00:00:00"/>
        <d v="2019-10-01T00:00:00"/>
        <d v="2020-03-06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02-23T00:00:00"/>
        <d v="2020-10-02T00:00:00"/>
        <d v="2021-11-02T00:00:00"/>
        <d v="2020-07-03T00:00:00"/>
        <d v="2019-02-11T00:00:00"/>
        <d v="2020-09-10T00:00:00"/>
        <d v="2020-03-02T00:00:00"/>
        <d v="2019-01-11T00:00:00"/>
        <d v="2019-09-20T00:00:00"/>
        <d v="2021-10-16T00:00:00"/>
        <d v="2020-01-01T00:00:00"/>
        <d v="2022-03-10T00:00:00"/>
        <d v="2022-03-16T00:00:00"/>
        <d v="2022-05-12T00:00:00"/>
        <d v="2019-03-30T00:00:00"/>
        <d v="2021-12-19T00:00:00"/>
        <d v="2020-06-05T00:00:00"/>
        <d v="2021-09-12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2-02-20T00:00:00"/>
        <d v="2021-08-25T00:00:00"/>
        <d v="2022-06-14T00:00:00"/>
        <d v="2020-06-30T00:00:00"/>
        <d v="2020-03-25T00:00:00"/>
        <d v="2021-04-14T00:00:00"/>
        <d v="2021-04-12T00:00:00"/>
        <d v="2019-09-28T00:00:00"/>
        <d v="2019-07-15T00:00:00"/>
        <d v="2019-02-10T00:00:00"/>
        <d v="2022-06-04T00:00:00"/>
        <d v="2021-06-06T00:00:00"/>
        <d v="2019-03-16T00:00:00"/>
        <d v="2019-12-05T00:00:00"/>
        <d v="2019-01-20T00:00:00"/>
        <d v="2022-04-04T00:00:00"/>
        <d v="2022-02-08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19-04-11T00:00:00"/>
        <d v="2020-07-30T00:00:00"/>
        <d v="2021-12-27T00:00:00"/>
        <d v="2019-10-03T00:00:00"/>
        <d v="2020-08-31T00:00:00"/>
        <d v="2021-01-13T00:00:00"/>
        <d v="2021-03-22T00:00:00"/>
        <d v="2020-01-17T00:00:00"/>
        <d v="2019-07-02T00:00:00"/>
        <d v="2022-05-23T00:00:00"/>
        <d v="2022-01-01T00:00:00"/>
        <d v="2022-06-03T00:00:00"/>
        <d v="2020-05-26T00:00:00"/>
        <d v="2019-07-26T00:00:00"/>
        <d v="2020-10-22T00:00:00"/>
        <d v="2020-12-24T00:00:00"/>
        <d v="2022-01-26T00:00:00"/>
        <d v="2019-11-28T00:00:00"/>
        <d v="2019-07-21T00:00:00"/>
        <d v="2020-03-22T00:00:00"/>
        <d v="2020-09-18T00:00:00"/>
        <d v="2019-01-03T00:00:00"/>
        <d v="2021-09-29T00:00:00"/>
        <d v="2021-12-10T00:00:00"/>
        <d v="2019-03-17T00:00:00"/>
        <d v="2020-02-27T00:00:00"/>
        <d v="2019-11-09T00:00:00"/>
        <d v="2020-03-07T00:00:00"/>
        <d v="2021-11-11T00:00:00"/>
        <d v="2022-07-29T00:00:00"/>
        <d v="2022-02-21T00:00:00"/>
        <d v="2019-03-21T00:00:00"/>
        <d v="2021-12-03T00:00:00"/>
        <d v="2022-07-09T00:00:00"/>
        <d v="2022-01-27T00:00:00"/>
        <d v="2021-02-13T00:00:00"/>
        <d v="2020-03-12T00:00:00"/>
        <d v="2020-05-04T00:00:00"/>
        <d v="2022-06-01T00:00:00"/>
        <d v="2021-02-14T00:00:00"/>
        <d v="2022-07-19T00:00:00"/>
        <d v="2019-09-07T00:00:00"/>
        <d v="2021-02-08T00:00:00"/>
        <d v="2020-12-08T00:00:00"/>
        <d v="2019-03-10T00:00:00"/>
        <d v="2019-11-29T00:00:00"/>
        <d v="2020-06-26T00:00:00"/>
        <d v="2019-02-14T00:00:00"/>
        <d v="2020-11-09T00:00:00"/>
        <d v="2019-04-30T00:00:00"/>
        <d v="2020-10-30T00:00:00"/>
        <d v="2021-08-06T00:00:00"/>
        <d v="2021-04-16T00:00:00"/>
        <d v="2020-11-06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2-07-28T00:00:00"/>
        <d v="2021-05-31T00:00:00"/>
        <d v="2020-09-15T00:00:00"/>
        <d v="2022-01-23T00:00:00"/>
        <d v="2021-01-27T00:00:00"/>
        <d v="2020-03-15T00:00:00"/>
        <d v="2021-09-24T00:00:00"/>
        <d v="2019-04-05T00:00:00"/>
        <d v="2021-09-10T00:00:00"/>
        <d v="2022-03-15T00:00:00"/>
        <d v="2019-09-18T00:00:00"/>
        <d v="2022-01-12T00:00:00"/>
        <d v="2022-05-30T00:00:00"/>
        <d v="2021-11-09T00:00:00"/>
        <d v="2019-01-09T00:00:00"/>
        <d v="2020-11-30T00:00:00"/>
        <d v="2019-03-22T00:00:00"/>
        <d v="2022-02-15T00:00:00"/>
        <d v="2020-10-13T00:00:00"/>
        <d v="2022-06-10T00:00:00"/>
        <d v="2021-08-01T00:00:00"/>
        <d v="2020-11-18T00:00:00"/>
        <d v="2021-10-24T00:00:00"/>
        <d v="2021-02-02T00:00:00"/>
        <d v="2022-04-23T00:00:00"/>
        <d v="2019-02-28T00:00:00"/>
        <d v="2022-05-22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2-05-04T00:00:00"/>
        <d v="2019-10-11T00:00:00"/>
        <d v="2021-03-21T00:00:00"/>
        <d v="2021-02-17T00:00:00"/>
        <d v="2020-10-15T00:00:00"/>
      </sharedItems>
      <fieldGroup par="16"/>
    </cacheField>
    <cacheField name="Customer ID" numFmtId="0">
      <sharedItems count="913">
        <s v="17670-51384-MA"/>
        <s v="34136-36674-OM"/>
        <s v="49860-68865-AB"/>
        <s v="21125-22134-PX"/>
        <s v="36078-91009-WU"/>
        <s v="23806-46781-OU"/>
        <s v="06631-86965-XP"/>
        <s v="86561-91660-RB"/>
        <s v="65223-29612-CB"/>
        <s v="62173-15287-CU"/>
        <s v="21134-81676-FR"/>
        <s v="03396-68805-ZC"/>
        <s v="61021-27840-ZN"/>
        <s v="99643-51048-IQ"/>
        <s v="76239-90137-UQ"/>
        <s v="76664-37050-DT"/>
        <s v="49315-21985-BB"/>
        <s v="50124-88608-EO"/>
        <s v="39396-12890-PE"/>
        <s v="49231-44455-IC"/>
        <s v="95875-73336-RG"/>
        <s v="25473-43727-BY"/>
        <s v="24010-66714-HW"/>
        <s v="39123-12846-YJ"/>
        <s v="57611-05522-ST"/>
        <s v="03090-88267-BQ"/>
        <s v="95399-57205-HI"/>
        <s v="37651-47492-NC"/>
        <s v="00888-74814-UZ"/>
        <s v="51427-89175-QJ"/>
        <s v="24825-51803-CQ"/>
        <s v="07591-92789-UA"/>
        <s v="14158-30713-OB"/>
        <s v="15770-27099-GX"/>
        <s v="44981-99666-XB"/>
        <s v="08523-01791-TI"/>
        <s v="77634-13918-GJ"/>
        <s v="08350-81623-TF"/>
        <s v="13694-25001-LX"/>
        <s v="73284-01385-SJ"/>
        <s v="21240-83132-SP"/>
        <s v="04152-34436-IE"/>
        <s v="54619-08558-ZU"/>
        <s v="85589-17020-CX"/>
        <s v="91460-04823-BX"/>
        <s v="45089-52817-WN"/>
        <s v="76447-50326-IC"/>
        <s v="26333-67911-OL"/>
        <s v="22107-86640-SB"/>
        <s v="09960-34242-LZ"/>
        <s v="04671-85591-RT"/>
        <s v="25729-68859-UA"/>
        <s v="05501-86351-NX"/>
        <s v="04521-04300-OK"/>
        <s v="58689-55264-VK"/>
        <s v="79436-73011-MM"/>
        <s v="65552-60476-KY"/>
        <s v="69904-02729-YS"/>
        <s v="01433-04270-AX"/>
        <s v="14204-14186-LA"/>
        <s v="32948-34398-HC"/>
        <s v="77343-52608-FF"/>
        <s v="42770-36274-QA"/>
        <s v="14103-58987-ZU"/>
        <s v="69958-32065-SW"/>
        <s v="69533-84907-FA"/>
        <s v="76005-95461-CI"/>
        <s v="15395-90855-VB"/>
        <s v="80640-45811-LB"/>
        <s v="28476-04082-GR"/>
        <s v="12018-75670-EU"/>
        <s v="86437-17399-FK"/>
        <s v="62979-53167-ML"/>
        <s v="54810-81899-HL"/>
        <s v="26103-41504-IB"/>
        <s v="76534-45229-SG"/>
        <s v="81744-27332-RR"/>
        <s v="91513-75657-PH"/>
        <s v="30373-66619-CB"/>
        <s v="31582-23562-FM"/>
        <s v="58638-01029-CB"/>
        <s v="81431-12577-VD"/>
        <s v="68894-91205-MP"/>
        <s v="87602-55754-VN"/>
        <s v="39181-35745-WH"/>
        <s v="30381-64762-NG"/>
        <s v="17503-27693-ZH"/>
        <s v="89442-35633-HJ"/>
        <s v="13654-85265-IL"/>
        <s v="40946-22090-FP"/>
        <s v="29050-93691-TS"/>
        <s v="64395-74865-WF"/>
        <s v="81861-66046-SU"/>
        <s v="13366-78506-KP"/>
        <s v="08847-29858-HN"/>
        <s v="00539-42510-RY"/>
        <s v="45190-08727-NV"/>
        <s v="87049-37901-FU"/>
        <s v="34015-31593-JC"/>
        <s v="90305-50099-SV"/>
        <s v="55871-61935-MF"/>
        <s v="15405-60469-TM"/>
        <s v="06953-94794-FB"/>
        <s v="22305-40299-CY"/>
        <s v="09020-56774-GU"/>
        <s v="92926-08470-YS"/>
        <s v="07250-63194-JO"/>
        <s v="63787-96257-TQ"/>
        <s v="49530-25460-RW"/>
        <s v="66508-21373-OQ"/>
        <s v="20203-03950-FY"/>
        <s v="83895-90735-XH"/>
        <s v="61954-61462-RJ"/>
        <s v="47939-53158-LS"/>
        <s v="61513-27752-FA"/>
        <s v="89714-19856-WX"/>
        <s v="87979-56781-YV"/>
        <s v="74126-88836-KA"/>
        <s v="37397-05992-VO"/>
        <s v="54904-18397-UD"/>
        <s v="19017-95853-EK"/>
        <s v="88593-59934-VU"/>
        <s v="47493-68564-YM"/>
        <s v="82246-82543-DW"/>
        <s v="03384-62101-IY"/>
        <s v="86881-41559-OR"/>
        <s v="02536-18494-AQ"/>
        <s v="90312-11148-LA"/>
        <s v="68239-74809-TF"/>
        <s v="91074-60023-IP"/>
        <s v="07972-83748-JI"/>
        <s v="08694-57330-XR"/>
        <s v="68412-11126-YJ"/>
        <s v="69037-66822-DW"/>
        <s v="01297-94364-XH"/>
        <s v="39919-06540-ZI"/>
        <s v="60512-78550-WS"/>
        <s v="40172-12000-AU"/>
        <s v="39019-13649-CL"/>
        <s v="12715-05198-QU"/>
        <s v="04513-76520-QO"/>
        <s v="88446-59251-SQ"/>
        <s v="23779-10274-KN"/>
        <s v="57235-92842-DK"/>
        <s v="75977-30364-AY"/>
        <s v="12299-30914-NG"/>
        <s v="59971-35626-YJ"/>
        <s v="15380-76513-PS"/>
        <s v="73564-98204-EY"/>
        <s v="72282-40594-RX"/>
        <s v="17514-94165-RJ"/>
        <s v="56248-75861-JX"/>
        <s v="97855-54761-IS"/>
        <s v="96544-91644-IT"/>
        <s v="51971-70393-QM"/>
        <s v="06812-11924-IK"/>
        <s v="59741-90220-OW"/>
        <s v="62682-27930-PD"/>
        <s v="00256-19905-YG"/>
        <s v="38890-22576-UI"/>
        <s v="94573-61802-PH"/>
        <s v="86447-02699-UT"/>
        <s v="51432-27169-KN"/>
        <s v="43074-00987-PB"/>
        <s v="04739-85772-QT"/>
        <s v="28279-78469-YW"/>
        <s v="91829-99544-DS"/>
        <s v="38978-59582-JP"/>
        <s v="86504-96610-BH"/>
        <s v="75986-98864-EZ"/>
        <s v="66776-88682-RG"/>
        <s v="85851-78384-DM"/>
        <s v="55232-81621-BX"/>
        <s v="80310-92912-JA"/>
        <s v="19821-05175-WZ"/>
        <s v="01338-83217-GV"/>
        <s v="66044-25298-TA"/>
        <s v="28728-47861-TZ"/>
        <s v="32638-38620-AX"/>
        <s v="83163-65741-IH"/>
        <s v="89422-58281-FD"/>
        <s v="76293-30918-DQ"/>
        <s v="86779-84838-EJ"/>
        <s v="66806-41795-MX"/>
        <s v="64875-71224-UI"/>
        <s v="16982-35708-BZ"/>
        <s v="66708-26678-QK"/>
        <s v="08743-09057-OO"/>
        <s v="37490-01572-JW"/>
        <s v="01811-60350-CU"/>
        <s v="24766-58139-GT"/>
        <s v="90123-70970-NY"/>
        <s v="93809-05424-MG"/>
        <s v="85425-33494-HQ"/>
        <s v="54387-64897-XC"/>
        <s v="01035-70465-UO"/>
        <s v="84260-39432-ML"/>
        <s v="69779-40609-RS"/>
        <s v="80247-70000-HT"/>
        <s v="35058-04550-VC"/>
        <s v="27226-53717-SY"/>
        <s v="02002-98725-CH"/>
        <s v="38487-01549-MV"/>
        <s v="98573-41811-EQ"/>
        <s v="72463-75685-MV"/>
        <s v="10225-91535-AI"/>
        <s v="48090-06534-HI"/>
        <s v="80444-58185-FX"/>
        <s v="13561-92774-WP"/>
        <s v="11550-78378-GE"/>
        <s v="90961-35603-RP"/>
        <s v="57145-03803-ZL"/>
        <s v="89115-11966-VF"/>
        <s v="05754-41702-FG"/>
        <s v="84269-49816-ML"/>
        <s v="23600-98432-ME"/>
        <s v="79058-02767-CP"/>
        <s v="89208-74646-UK"/>
        <s v="11408-81032-UR"/>
        <s v="32070-55528-UG"/>
        <s v="48873-84433-PN"/>
        <s v="32928-18158-OW"/>
        <s v="89711-56688-GG"/>
        <s v="48389-71976-JB"/>
        <s v="84033-80762-EQ"/>
        <s v="12743-00952-KO"/>
        <s v="41505-42181-EF"/>
        <s v="14307-87663-KB"/>
        <s v="08360-19442-GB"/>
        <s v="93405-51204-UW"/>
        <s v="97152-03355-IW"/>
        <s v="79216-73157-TE"/>
        <s v="20259-47723-AC"/>
        <s v="04666-71569-RI"/>
        <s v="08909-77713-CG"/>
        <s v="84340-73931-VV"/>
        <s v="04609-95151-XH"/>
        <s v="99562-88650-YF"/>
        <s v="46560-73885-PJ"/>
        <s v="80179-44620-WN"/>
        <s v="59081-87231-VP"/>
        <s v="07878-45872-CC"/>
        <s v="12444-05174-OO"/>
        <s v="34665-62561-AU"/>
        <s v="77877-11993-QH"/>
        <s v="32291-18308-YZ"/>
        <s v="25754-33191-ZI"/>
        <s v="53120-45532-KL"/>
        <s v="36605-83052-WB"/>
        <s v="53683-35977-KI"/>
        <s v="07972-83134-NM"/>
        <s v="25514-23938-IQ"/>
        <s v="49084-44492-OJ"/>
        <s v="76624-72205-CK"/>
        <s v="12729-50170-JE"/>
        <s v="43974-44760-QI"/>
        <s v="30585-48726-BK"/>
        <s v="16123-07017-TY"/>
        <s v="27723-45097-MH"/>
        <s v="37078-56703-AF"/>
        <s v="79420-11075-MY"/>
        <s v="57504-13456-UO"/>
        <s v="53751-57560-CN"/>
        <s v="96112-42558-EA"/>
        <s v="03157-23165-UB"/>
        <s v="51466-52850-AG"/>
        <s v="57145-31023-FK"/>
        <s v="66408-53777-VE"/>
        <s v="53035-99701-WG"/>
        <s v="45899-92796-EI"/>
        <s v="17649-28133-PY"/>
        <s v="49612-33852-CN"/>
        <s v="66976-43829-YG"/>
        <s v="64852-04619-XZ"/>
        <s v="58690-31815-VY"/>
        <s v="62863-81239-DT"/>
        <s v="21177-40725-CF"/>
        <s v="99421-80253-UI"/>
        <s v="45315-50206-DK"/>
        <s v="09595-95726-OV"/>
        <s v="60221-67036-TD"/>
        <s v="62923-29397-KX"/>
        <s v="33011-52383-BA"/>
        <s v="86768-91598-FA"/>
        <s v="37191-12203-MX"/>
        <s v="16545-76328-JY"/>
        <s v="74330-29286-RO"/>
        <s v="22349-47389-GY"/>
        <s v="70290-38099-GB"/>
        <s v="18741-72071-PP"/>
        <s v="62588-82624-II"/>
        <s v="37430-29579-HD"/>
        <s v="84132-22322-QT"/>
        <s v="37445-17791-NQ"/>
        <s v="58511-10548-ZU"/>
        <s v="47725-34771-FJ"/>
        <s v="53086-67334-KT"/>
        <s v="83308-82257-UN"/>
        <s v="37274-08534-FM"/>
        <s v="54004-04664-AA"/>
        <s v="26822-19510-SD"/>
        <s v="06432-73165-ML"/>
        <s v="96503-31833-CW"/>
        <s v="63985-64148-MG"/>
        <s v="19597-91185-CM"/>
        <s v="79814-23626-JR"/>
        <s v="43439-94003-DW"/>
        <s v="97655-45555-LI"/>
        <s v="64418-01720-VW"/>
        <s v="96836-09258-RI"/>
        <s v="69529-07533-CV"/>
        <s v="94840-49457-UD"/>
        <s v="81414-81273-DK"/>
        <s v="76930-61689-CH"/>
        <s v="12839-56537-TQ"/>
        <s v="62741-01322-HU"/>
        <s v="44932-34838-RM"/>
        <s v="91181-19412-RQ"/>
        <s v="37182-54930-XC"/>
        <s v="08613-17327-XT"/>
        <s v="70451-38048-AH"/>
        <s v="35442-75769-PL"/>
        <s v="83737-56117-JE"/>
        <s v="07095-81281-NJ"/>
        <s v="77043-48851-HG"/>
        <s v="78224-60622-KH"/>
        <s v="83105-86631-IU"/>
        <s v="99358-65399-TC"/>
        <s v="94525-76037-JP"/>
        <s v="82718-93677-XO"/>
        <s v="44708-78241-DF"/>
        <s v="23039-93032-FN"/>
        <s v="35256-12529-FT"/>
        <s v="86100-33488-WP"/>
        <s v="64435-53100-WM"/>
        <s v="44699-43836-UH"/>
        <s v="29588-35679-RG"/>
        <s v="64815-54078-HH"/>
        <s v="59572-41990-XY"/>
        <s v="32481-61533-ZJ"/>
        <s v="31587-92570-HL"/>
        <s v="93832-04799-ID"/>
        <s v="59367-30821-ZQ"/>
        <s v="83947-45528-ET"/>
        <s v="60799-92593-CX"/>
        <s v="61600-55136-UM"/>
        <s v="59771-90302-OF"/>
        <s v="16880-78077-FB"/>
        <s v="74415-50873-FC"/>
        <s v="31798-95707-NR"/>
        <s v="59122-08794-WT"/>
        <s v="37238-52421-JJ"/>
        <s v="48854-01899-FN"/>
        <s v="80896-38819-DW"/>
        <s v="29814-01459-RC"/>
        <s v="48497-29281-FE"/>
        <s v="43605-12616-YH"/>
        <s v="21907-75962-VB"/>
        <s v="69503-12127-YD"/>
        <s v="68810-07329-EU"/>
        <s v="08478-75251-OG"/>
        <s v="17005-82030-EA"/>
        <s v="42179-95059-DO"/>
        <s v="55989-39849-WO"/>
        <s v="28932-49296-TM"/>
        <s v="86144-10144-CB"/>
        <s v="60973-72562-DQ"/>
        <s v="11263-86515-VU"/>
        <s v="60004-62976-NI"/>
        <s v="77876-28498-HI"/>
        <s v="61302-06948-EH"/>
        <s v="06757-96251-UH"/>
        <s v="44530-75983-OD"/>
        <s v="44865-58249-RY"/>
        <s v="36021-61205-DF"/>
        <s v="75716-12782-SS"/>
        <s v="11812-00461-KH"/>
        <s v="46681-78850-ZW"/>
        <s v="01932-87052-KO"/>
        <s v="16046-34805-ZF"/>
        <s v="34546-70516-LR"/>
        <s v="73699-93557-FZ"/>
        <s v="86686-37462-CK"/>
        <s v="14298-02150-KH"/>
        <s v="48675-07824-HJ"/>
        <s v="18551-80943-YQ"/>
        <s v="19196-09748-DB"/>
        <s v="72233-08665-IP"/>
        <s v="53817-13148-RK"/>
        <s v="92227-49331-QR"/>
        <s v="12997-41076-FQ"/>
        <s v="44220-00348-MB"/>
        <s v="93047-98331-DD"/>
        <s v="67285-75317-XI"/>
        <s v="88167-57964-PH"/>
        <s v="16106-36039-QS"/>
        <s v="98921-82417-GN"/>
        <s v="55265-75151-AK"/>
        <s v="47386-50743-FG"/>
        <s v="32622-54551-UC"/>
        <s v="48419-02347-XP"/>
        <s v="14121-20527-OJ"/>
        <s v="53486-73919-BQ"/>
        <s v="21889-94615-WT"/>
        <s v="87726-16941-QW"/>
        <s v="03677-09134-BC"/>
        <s v="93224-71517-WV"/>
        <s v="76263-95145-GJ"/>
        <s v="68555-89840-GZ"/>
        <s v="70624-19112-AO"/>
        <s v="58916-61837-QH"/>
        <s v="89292-52335-YZ"/>
        <s v="77284-34297-YY"/>
        <s v="50449-80974-BZ"/>
        <s v="08120-16183-AW"/>
        <s v="68044-89277-ML"/>
        <s v="71364-35210-HS"/>
        <s v="37177-68797-ON"/>
        <s v="60308-06944-GS"/>
        <s v="49888-39458-PF"/>
        <s v="60748-46813-DZ"/>
        <s v="16385-11286-NX"/>
        <s v="72164-90254-EJ"/>
        <s v="67010-92988-CT"/>
        <s v="15776-91507-GT"/>
        <s v="23473-41001-CD"/>
        <s v="23446-47798-ID"/>
        <s v="28327-84469-ND"/>
        <s v="42466-87067-DT"/>
        <s v="62246-99443-HF"/>
        <s v="99869-55718-UU"/>
        <s v="77421-46059-RY"/>
        <s v="49894-06550-OQ"/>
        <s v="72028-63343-SU"/>
        <s v="10074-20104-NN"/>
        <s v="71769-10219-IM"/>
        <s v="22221-71106-JD"/>
        <s v="99735-44927-OL"/>
        <s v="27132-68907-RC"/>
        <s v="90440-62727-HI"/>
        <s v="36769-16558-SX"/>
        <s v="10138-31681-SD"/>
        <s v="24669-76297-SF"/>
        <s v="78050-20355-DI"/>
        <s v="79825-17822-UH"/>
        <s v="03990-21586-MQ"/>
        <s v="27493-46921-TZ"/>
        <s v="58816-74064-TF"/>
        <s v="09818-59895-EH"/>
        <s v="06488-46303-IZ"/>
        <s v="93046-67561-AY"/>
        <s v="68946-40750-LK"/>
        <s v="38387-64959-WW"/>
        <s v="48418-60841-CC"/>
        <s v="13736-92418-JS"/>
        <s v="33000-22405-LO"/>
        <s v="46959-60474-LT"/>
        <s v="73431-39823-UP"/>
        <s v="90993-98984-JK"/>
        <s v="06552-04430-AG"/>
        <s v="54597-57004-QM"/>
        <s v="50238-24377-ZS"/>
        <s v="60370-41934-IF"/>
        <s v="06899-54551-EH"/>
        <s v="66458-91190-YC"/>
        <s v="80463-43913-WZ"/>
        <s v="67204-04870-LG"/>
        <s v="22721-63196-UJ"/>
        <s v="55515-37571-RS"/>
        <s v="25598-77476-CB"/>
        <s v="14888-85625-TM"/>
        <s v="92793-68332-NR"/>
        <s v="64439-27325-LG"/>
        <s v="78570-76770-LB"/>
        <s v="98661-69719-VI"/>
        <s v="82990-92703-IX"/>
        <s v="49412-86877-VY"/>
        <s v="70879-00984-FJ"/>
        <s v="53414-73391-CR"/>
        <s v="43606-83072-OA"/>
        <s v="84466-22864-CE"/>
        <s v="76499-89100-JQ"/>
        <s v="39582-35773-ZJ"/>
        <s v="66240-46962-IO"/>
        <s v="10637-45522-ID"/>
        <s v="92599-58687-CS"/>
        <s v="06058-48844-PI"/>
        <s v="53631-24432-SY"/>
        <s v="18275-73980-KL"/>
        <s v="23187-65750-HZ"/>
        <s v="22725-79522-GP"/>
        <s v="06279-72603-JE"/>
        <s v="83543-79246-ON"/>
        <s v="66794-66795-VW"/>
        <s v="95424-67020-AP"/>
        <s v="73017-69644-MS"/>
        <s v="67423-10113-LM"/>
        <s v="48582-05061-RY"/>
        <s v="32031-49093-KE"/>
        <s v="31715-98714-OO"/>
        <s v="73759-17258-KA"/>
        <s v="64897-79178-MH"/>
        <s v="73346-85564-JB"/>
        <s v="07476-13102-NJ"/>
        <s v="87223-37422-SK"/>
        <s v="57837-15577-YK"/>
        <s v="10142-55267-YO"/>
        <s v="73647-66148-VM"/>
        <s v="92976-19453-DT"/>
        <s v="89757-51438-HX"/>
        <s v="76192-13390-HZ"/>
        <s v="02009-87294-SY"/>
        <s v="82872-34456-LJ"/>
        <s v="13181-04387-LI"/>
        <s v="24845-36117-TI"/>
        <s v="86646-65810-TD"/>
        <s v="59480-02795-IU"/>
        <s v="61809-87758-LJ"/>
        <s v="77408-43873-RS"/>
        <s v="18366-65239-WF"/>
        <s v="19485-98072-PS"/>
        <s v="72072-33025-SD"/>
        <s v="58118-22461-GC"/>
        <s v="90940-63327-DJ"/>
        <s v="64481-42546-II"/>
        <s v="27536-28463-NJ"/>
        <s v="70140-82812-KD"/>
        <s v="91895-55605-LS"/>
        <s v="43155-71724-XP"/>
        <s v="32038-81174-JF"/>
        <s v="59205-20324-NB"/>
        <s v="99899-54612-NX"/>
        <s v="26248-84194-FI"/>
        <s v="84493-71314-WX"/>
        <s v="39789-43945-IV"/>
        <s v="38972-89678-ZM"/>
        <s v="91465-84526-IJ"/>
        <s v="22832-98538-RB"/>
        <s v="30844-91890-ZA"/>
        <s v="05325-97750-WP"/>
        <s v="88992-49081-AT"/>
        <s v="10204-31464-SA"/>
        <s v="75156-80911-YT"/>
        <s v="53971-49906-PZ"/>
        <s v="10728-17633-ST"/>
        <s v="13549-65017-VE"/>
        <s v="87688-42420-TO"/>
        <s v="51901-35210-UI"/>
        <s v="62483-50867-OM"/>
        <s v="92753-50029-SD"/>
        <s v="53809-98498-SN"/>
        <s v="66308-13503-KD"/>
        <s v="82458-87830-JE"/>
        <s v="41611-34336-WT"/>
        <s v="70089-27418-UJ"/>
        <s v="99978-56910-BN"/>
        <s v="09668-23340-IC"/>
        <s v="39457-62611-YK"/>
        <s v="90985-89807-RW"/>
        <s v="17816-67941-ZS"/>
        <s v="90816-65619-LM"/>
        <s v="69761-61146-KD"/>
        <s v="24040-20817-QB"/>
        <s v="19524-21432-XP"/>
        <s v="14398-43114-RV"/>
        <s v="41486-52502-QQ"/>
        <s v="20236-64364-QL"/>
        <s v="29102-40100-TZ"/>
        <s v="09171-42203-EB"/>
        <s v="29060-75856-UI"/>
        <s v="17088-16989-PL"/>
        <s v="14756-18321-CL"/>
        <s v="13324-78688-MI"/>
        <s v="73799-04749-BM"/>
        <s v="01927-46702-YT"/>
        <s v="80467-17137-TO"/>
        <s v="14640-87215-BK"/>
        <s v="94447-35885-HK"/>
        <s v="71034-49694-CS"/>
        <s v="00445-42781-KX"/>
        <s v="96116-24737-LV"/>
        <s v="18684-73088-YL"/>
        <s v="74671-55639-TU"/>
        <s v="17488-65879-XL"/>
        <s v="46431-09298-OU"/>
        <s v="60378-26473-FE"/>
        <s v="34927-68586-ZV"/>
        <s v="29051-27555-GD"/>
        <s v="52143-35672-JF"/>
        <s v="64918-67725-MN"/>
        <s v="85634-61759-ND"/>
        <s v="40180-22940-QB"/>
        <s v="34666-76738-SQ"/>
        <s v="98536-88616-FF"/>
        <s v="55621-06130-SA"/>
        <s v="45666-86771-EH"/>
        <s v="24689-69376-XX"/>
        <s v="71891-51101-VQ"/>
        <s v="71749-05400-CN"/>
        <s v="64845-00270-NO"/>
        <s v="29851-36402-UX"/>
        <s v="12190-25421-WM"/>
        <s v="52316-30571-GD"/>
        <s v="23243-92649-RY"/>
        <s v="39528-19971-OR"/>
        <s v="32743-78448-KT"/>
        <s v="93417-12322-YB"/>
        <s v="56891-86662-UY"/>
        <s v="40414-26467-VE"/>
        <s v="87858-83734-RK"/>
        <s v="46818-20198-GB"/>
        <s v="29808-89098-XD"/>
        <s v="78786-77449-RQ"/>
        <s v="27878-42224-QF"/>
        <s v="25331-13794-SB"/>
        <s v="55864-37682-GQ"/>
        <s v="97005-25609-CQ"/>
        <s v="94058-95794-IJ"/>
        <s v="40214-03678-GU"/>
        <s v="04921-85445-SL"/>
        <s v="53386-94266-LJ"/>
        <s v="49480-85909-DG"/>
        <s v="18293-78136-MN"/>
        <s v="84641-67384-TD"/>
        <s v="72320-29738-EB"/>
        <s v="47355-97488-XS"/>
        <s v="63499-24884-PP"/>
        <s v="39193-51770-FM"/>
        <s v="61323-91967-GG"/>
        <s v="90123-01967-KS"/>
        <s v="15958-25089-OS"/>
        <s v="98430-37820-UV"/>
        <s v="21798-04171-XC"/>
        <s v="52798-46508-HP"/>
        <s v="46478-42970-EM"/>
        <s v="00246-15080-LE"/>
        <s v="94091-86957-HX"/>
        <s v="26295-44907-DK"/>
        <s v="95351-96177-QV"/>
        <s v="92204-96636-BS"/>
        <s v="03010-30348-UA"/>
        <s v="13441-34686-SW"/>
        <s v="96612-41722-VJ"/>
        <s v="25504-41681-WA"/>
        <s v="75443-07820-DZ"/>
        <s v="39276-95489-XV"/>
        <s v="61437-83623-PZ"/>
        <s v="34317-87258-HQ"/>
        <s v="18570-80998-ZS"/>
        <s v="66580-33745-OQ"/>
        <s v="19820-29285-FD"/>
        <s v="11349-55147-SN"/>
        <s v="21141-12455-VB"/>
        <s v="71003-85639-HB"/>
        <s v="58443-95866-YO"/>
        <s v="89646-21249-OH"/>
        <s v="64988-20636-XQ"/>
        <s v="34704-83143-KS"/>
        <s v="67388-17544-XX"/>
        <s v="69411-48470-ID"/>
        <s v="97741-98924-KT"/>
        <s v="79857-78167-KO"/>
        <s v="46963-10322-ZA"/>
        <s v="93812-74772-MV"/>
        <s v="48203-23480-UB"/>
        <s v="60357-65386-RD"/>
        <s v="35099-13971-JI"/>
        <s v="01304-59807-OB"/>
        <s v="50705-17295-NK"/>
        <s v="77657-61366-FY"/>
        <s v="57192-13428-PL"/>
        <s v="24891-77957-LU"/>
        <s v="64896-18468-BT"/>
        <s v="84761-40784-SV"/>
        <s v="20236-42322-CM"/>
        <s v="49671-11547-WG"/>
        <s v="57976-33535-WK"/>
        <s v="55915-19477-MK"/>
        <s v="28121-11641-UA"/>
        <s v="09540-70637-EV"/>
        <s v="17775-77072-PP"/>
        <s v="90392-73338-BC"/>
        <s v="10725-45724-CO"/>
        <s v="87242-18006-IR"/>
        <s v="36572-91896-PP"/>
        <s v="25181-97933-UX"/>
        <s v="55374-03175-IA"/>
        <s v="76948-43532-JS"/>
        <s v="24344-88599-PP"/>
        <s v="54462-58311-YF"/>
        <s v="90767-92589-LV"/>
        <s v="27517-43747-YD"/>
        <s v="77828-66867-KH"/>
        <s v="41054-59693-XE"/>
        <s v="26314-66792-VP"/>
        <s v="69410-04668-MA"/>
        <s v="24972-55878-KX"/>
        <s v="46296-42617-OQ"/>
        <s v="44494-89923-UW"/>
        <s v="11621-09964-ID"/>
        <s v="76319-80715-II"/>
        <s v="91654-79216-IC"/>
        <s v="56450-21890-HK"/>
        <s v="40600-58915-WZ"/>
        <s v="66527-94478-PB"/>
        <s v="77154-45038-IH"/>
        <s v="08439-55669-AI"/>
        <s v="91509-62250-GN"/>
        <s v="83833-46106-ZC"/>
        <s v="19383-33606-PW"/>
        <s v="67052-76184-CB"/>
        <s v="43452-18035-DH"/>
        <s v="88060-50676-MV"/>
        <s v="89574-96203-EP"/>
        <s v="12607-75113-UV"/>
        <s v="56991-05510-PR"/>
        <s v="01841-48191-NL"/>
        <s v="33269-10023-CO"/>
        <s v="31245-81098-PJ"/>
        <s v="08946-56610-IH"/>
        <s v="20260-32948-EB"/>
        <s v="31613-41626-KX"/>
        <s v="75961-20170-RD"/>
        <s v="72524-06410-KD"/>
        <s v="98918-34330-GY"/>
        <s v="51497-50894-WU"/>
        <s v="98636-90072-YE"/>
        <s v="47011-57815-HJ"/>
        <s v="61253-98356-VD"/>
        <s v="96762-10814-DA"/>
        <s v="63112-10870-LC"/>
        <s v="21403-49423-PD"/>
        <s v="29581-13303-VB"/>
        <s v="86110-83695-YS"/>
        <s v="80454-42225-FT"/>
        <s v="29129-60664-KO"/>
        <s v="63025-62939-AN"/>
        <s v="49012-12987-QT"/>
        <s v="50924-94200-SQ"/>
        <s v="15673-18812-IU"/>
        <s v="52151-75971-YY"/>
        <s v="19413-02045-CG"/>
        <s v="98185-92775-KT"/>
        <s v="86991-53901-AT"/>
        <s v="78226-97287-JI"/>
        <s v="27930-59250-JT"/>
        <s v="40560-18556-YE"/>
        <s v="40780-22081-LX"/>
        <s v="01603-43789-TN"/>
        <s v="75419-92838-TI"/>
        <s v="96516-97464-MF"/>
        <s v="90285-56295-PO"/>
        <s v="08100-71102-HQ"/>
        <s v="84074-28110-OV"/>
        <s v="12747-63766-EU"/>
        <s v="83490-88357-LJ"/>
        <s v="53729-30320-XZ"/>
        <s v="50384-52703-LA"/>
        <s v="53864-36201-FG"/>
        <s v="70631-33225-MZ"/>
        <s v="54798-14109-HC"/>
        <s v="08023-52962-ET"/>
        <s v="41899-00283-VK"/>
        <s v="39011-18412-GR"/>
        <s v="60255-12579-PZ"/>
        <s v="80541-38332-BP"/>
        <s v="72778-50968-UQ"/>
        <s v="23941-30203-MO"/>
        <s v="96434-50068-DZ"/>
        <s v="11729-74102-XB"/>
        <s v="88116-12604-TE"/>
        <s v="13082-41034-PD"/>
        <s v="18082-74419-QH"/>
        <s v="49401-45041-ZU"/>
        <s v="41252-45992-VS"/>
        <s v="00852-54571-WP"/>
        <s v="13321-57602-GK"/>
        <s v="75006-89922-VW"/>
        <s v="52098-80103-FD"/>
        <s v="60121-12432-VU"/>
        <s v="68346-14810-UA"/>
        <s v="48464-99723-HK"/>
        <s v="88420-46464-XE"/>
        <s v="37762-09530-MP"/>
        <s v="47268-50127-XY"/>
        <s v="25544-84179-QC"/>
        <s v="32058-76765-ZL"/>
        <s v="69171-65646-UC"/>
        <s v="22503-52799-MI"/>
        <s v="08934-65581-ZI"/>
        <s v="15764-22559-ZT"/>
        <s v="87519-68847-ZG"/>
        <s v="78012-56878-UB"/>
        <s v="77192-72145-RG"/>
        <s v="86071-79238-CX"/>
        <s v="16809-16936-WF"/>
        <s v="11212-69985-ZJ"/>
        <s v="53893-01719-CL"/>
        <s v="66028-99867-WJ"/>
        <s v="62839-56723-CH"/>
        <s v="96849-52854-CR"/>
        <s v="19755-55847-VW"/>
        <s v="32900-82606-BO"/>
        <s v="20118-28138-QD"/>
        <s v="84057-45461-AH"/>
        <s v="90882-88130-KQ"/>
        <s v="21617-79890-DD"/>
        <s v="20256-54689-LO"/>
        <s v="17572-27091-AA"/>
        <s v="82300-88786-UE"/>
        <s v="65732-22589-OW"/>
        <s v="77175-09826-SF"/>
        <s v="07237-32539-NB"/>
        <s v="54722-76431-EX"/>
        <s v="67847-82662-TE"/>
        <s v="51114-51191-EW"/>
        <s v="91809-58808-TV"/>
        <s v="84996-26826-DK"/>
        <s v="93676-95250-XJ"/>
        <s v="28300-14355-GF"/>
        <s v="91190-84826-IQ"/>
        <s v="34570-99384-AF"/>
        <s v="57808-90533-UE"/>
        <s v="76060-30540-LB"/>
        <s v="76730-63769-ND"/>
        <s v="96042-27290-EQ"/>
        <s v="51940-02669-OR"/>
        <s v="99144-98314-GN"/>
        <s v="16358-63919-CE"/>
        <s v="67743-54817-UT"/>
        <s v="44601-51441-BH"/>
        <s v="97201-58870-WB"/>
        <s v="19849-12926-QF"/>
        <s v="40535-56770-UM"/>
        <s v="74940-09646-MU"/>
        <s v="06623-54610-HC"/>
        <s v="89490-75361-AF"/>
        <s v="94526-79230-GZ"/>
        <s v="58559-08254-UY"/>
        <s v="88574-37083-WX"/>
        <s v="67953-79896-AC"/>
        <s v="69207-93422-CQ"/>
        <s v="56060-17602-RG"/>
        <s v="46859-14212-FI"/>
        <s v="33555-01585-RP"/>
        <s v="11932-85629-CU"/>
        <s v="36192-07175-XC"/>
        <s v="46242-54946-ZW"/>
        <s v="95152-82155-VQ"/>
        <s v="13404-39127-WQ"/>
        <s v="40226-52317-IO"/>
        <s v="34419-18068-AG"/>
        <s v="51738-61457-RS"/>
        <s v="86757-52367-ON"/>
        <s v="28158-93383-CK"/>
        <s v="44799-09711-XW"/>
        <s v="53667-91553-LT"/>
        <s v="86579-92122-OC"/>
        <s v="01474-63436-TP"/>
        <s v="90533-82440-EE"/>
        <s v="48553-69225-VX"/>
        <s v="52374-27313-IV"/>
        <s v="14264-41252-SL"/>
        <s v="35367-50483-AR"/>
        <s v="69443-77665-QW"/>
        <s v="63411-51758-QC"/>
        <s v="68605-21835-UF"/>
        <s v="34786-30419-XY"/>
        <s v="15456-29250-RU"/>
        <s v="00886-35803-FG"/>
        <s v="31599-82152-AD"/>
        <s v="76209-39601-ZR"/>
        <s v="15064-65241-HB"/>
        <s v="69215-90789-DL"/>
        <s v="04317-46176-TB"/>
        <s v="04713-57765-KR"/>
        <s v="40959-32642-DN"/>
        <s v="77746-08153-PM"/>
        <s v="49667-96708-JL"/>
        <s v="24155-79322-EQ"/>
        <s v="95342-88311-SF"/>
        <s v="69374-08133-RI"/>
        <s v="83844-95908-RX"/>
        <s v="09667-09231-YM"/>
        <s v="55427-08059-DF"/>
        <s v="06624-54037-BQ"/>
        <s v="48544-90737-AZ"/>
        <s v="79463-01597-FQ"/>
        <s v="27702-50024-XC"/>
        <s v="57360-46846-NS"/>
        <s v="84045-66771-SL"/>
        <s v="46885-00260-TL"/>
        <s v="96446-62142-EN"/>
        <s v="07756-71018-GU"/>
        <s v="92048-47813-QB"/>
        <s v="28699-16256-XV"/>
        <s v="98476-63654-CG"/>
        <s v="55409-07759-YG"/>
        <s v="06136-65250-PG"/>
        <s v="08405-33165-BS"/>
        <s v="66070-30559-WI"/>
        <s v="01282-28364-RZ"/>
        <s v="51277-93873-RP"/>
        <s v="84405-83364-DG"/>
        <s v="83731-53280-YC"/>
        <s v="03917-13632-KC"/>
        <s v="62494-09113-RP"/>
        <s v="70567-65133-CN"/>
        <s v="77869-81373-AY"/>
        <s v="38536-98293-JZ"/>
        <s v="43014-53743-XK"/>
        <s v="64965-78386-MY"/>
        <s v="77131-58092-GE"/>
      </sharedItems>
    </cacheField>
    <cacheField name="Product ID" numFmtId="0">
      <sharedItems/>
    </cacheField>
    <cacheField name="Coffee Type" numFmtId="0">
      <sharedItems count="4">
        <s v="Rob"/>
        <s v="Exc"/>
        <s v="Ara"/>
        <s v="Lib"/>
      </sharedItems>
    </cacheField>
    <cacheField name="Roast Type" numFmtId="0">
      <sharedItems count="3">
        <s v="M"/>
        <s v="L"/>
        <s v="D"/>
      </sharedItems>
    </cacheField>
    <cacheField name="Size" numFmtId="0">
      <sharedItems containsSemiMixedTypes="0" containsString="0" containsNumber="1" minValue="0.2" maxValue="2.5" count="4">
        <n v="1"/>
        <n v="0.5"/>
        <n v="0.2"/>
        <n v="2.5"/>
      </sharedItems>
    </cacheField>
    <cacheField name="Customer Name" numFmtId="0">
      <sharedItems/>
    </cacheField>
    <cacheField name="City" numFmtId="0">
      <sharedItems/>
    </cacheField>
    <cacheField name="Country" numFmtId="0">
      <sharedItems/>
    </cacheField>
    <cacheField name="Loyalty Card" numFmtId="0">
      <sharedItems count="2">
        <s v="Yes"/>
        <s v="No"/>
      </sharedItems>
    </cacheField>
    <cacheField name="Quantity" numFmtId="0">
      <sharedItems containsSemiMixedTypes="0" containsString="0" containsNumber="1" containsInteger="1" minValue="1" maxValue="6" count="6">
        <n v="2"/>
        <n v="5"/>
        <n v="6"/>
        <n v="1"/>
        <n v="3"/>
        <n v="4"/>
      </sharedItems>
    </cacheField>
    <cacheField name="Unit Price" numFmtId="0">
      <sharedItems containsSemiMixedTypes="0" containsString="0" containsNumber="1" minValue="2.6850000000000001" maxValue="36.454999999999998"/>
    </cacheField>
    <cacheField name="Total Sales" numFmtId="0">
      <sharedItems containsSemiMixedTypes="0" containsString="0" containsNumber="1" minValue="2.6850000000000001" maxValue="218.73" count="198">
        <n v="19.899999999999999"/>
        <n v="41.25"/>
        <n v="49.75"/>
        <n v="59.699999999999996"/>
        <n v="12.95"/>
        <n v="7.77"/>
        <n v="27.5"/>
        <n v="54.97"/>
        <n v="16.5"/>
        <n v="38.849999999999994"/>
        <n v="21.87"/>
        <n v="77.699999999999989"/>
        <n v="4.7549999999999999"/>
        <n v="17.91"/>
        <n v="5.97"/>
        <n v="20.25"/>
        <n v="39.799999999999997"/>
        <n v="16.875"/>
        <n v="14.58"/>
        <n v="170.77500000000001"/>
        <n v="41.17"/>
        <n v="27"/>
        <n v="11.654999999999999"/>
        <n v="114.42500000000001"/>
        <n v="11.25"/>
        <n v="23.774999999999999"/>
        <n v="82.34"/>
        <n v="11.94"/>
        <n v="91.54"/>
        <n v="35.82"/>
        <n v="21.825000000000003"/>
        <n v="52.38"/>
        <n v="12.375"/>
        <n v="57.06"/>
        <n v="8.73"/>
        <n v="7.29"/>
        <n v="28.53"/>
        <n v="8.0549999999999997"/>
        <n v="43.650000000000006"/>
        <n v="72.91"/>
        <n v="178.71"/>
        <n v="63.25"/>
        <n v="15.54"/>
        <n v="145.82"/>
        <n v="29.849999999999998"/>
        <n v="72.75"/>
        <n v="47.55"/>
        <n v="10.935"/>
        <n v="59.4"/>
        <n v="89.355000000000004"/>
        <n v="26.19"/>
        <n v="26.85"/>
        <n v="6.75"/>
        <n v="7.17"/>
        <n v="9.51"/>
        <n v="2.9849999999999999"/>
        <n v="136.62"/>
        <n v="77.625"/>
        <n v="17.82"/>
        <n v="53.699999999999996"/>
        <n v="3.585"/>
        <n v="40.5"/>
        <n v="47.8"/>
        <n v="109.36499999999999"/>
        <n v="100.39500000000001"/>
        <n v="33.75"/>
        <n v="35.849999999999994"/>
        <n v="51.8"/>
        <n v="103.5"/>
        <n v="44.55"/>
        <n v="35.64"/>
        <n v="155.25"/>
        <n v="13.5"/>
        <n v="13.095000000000001"/>
        <n v="148.92500000000001"/>
        <n v="87.300000000000011"/>
        <n v="24.3"/>
        <n v="13.365"/>
        <n v="14.55"/>
        <n v="14.34"/>
        <n v="15.85"/>
        <n v="19.02"/>
        <n v="38.04"/>
        <n v="4.125"/>
        <n v="3.8849999999999998"/>
        <n v="68.75"/>
        <n v="23.88"/>
        <n v="12.15"/>
        <n v="94.875"/>
        <n v="102.465"/>
        <n v="48.6"/>
        <n v="29.785"/>
        <n v="17.46"/>
        <n v="68.31"/>
        <n v="18.225000000000001"/>
        <n v="51.75"/>
        <n v="68.655000000000001"/>
        <n v="2.6850000000000001"/>
        <n v="61.755000000000003"/>
        <n v="123.51"/>
        <n v="218.73"/>
        <n v="33"/>
        <n v="23.31"/>
        <n v="16.11"/>
        <n v="29.16"/>
        <n v="17.899999999999999"/>
        <n v="204.93"/>
        <n v="34.155000000000001"/>
        <n v="109.94"/>
        <n v="25.9"/>
        <n v="22.274999999999999"/>
        <n v="32.22"/>
        <n v="8.25"/>
        <n v="31.08"/>
        <n v="36.450000000000003"/>
        <n v="4.4550000000000001"/>
        <n v="33.465000000000003"/>
        <n v="19.424999999999997"/>
        <n v="72.900000000000006"/>
        <n v="53.46"/>
        <n v="59.57"/>
        <n v="82.5"/>
        <n v="22.5"/>
        <n v="20.585000000000001"/>
        <n v="31.7"/>
        <n v="58.2"/>
        <n v="56.25"/>
        <n v="10.754999999999999"/>
        <n v="14.924999999999999"/>
        <n v="119.14"/>
        <n v="129.375"/>
        <n v="17.925000000000001"/>
        <n v="20.625"/>
        <n v="36.454999999999998"/>
        <n v="182.27499999999998"/>
        <n v="45.77"/>
        <n v="133.86000000000001"/>
        <n v="21.509999999999998"/>
        <n v="9.9499999999999993"/>
        <n v="28.68"/>
        <n v="27.945"/>
        <n v="139.72499999999999"/>
        <n v="27.484999999999999"/>
        <n v="59.75"/>
        <n v="71.699999999999989"/>
        <n v="25.875"/>
        <n v="89.1"/>
        <n v="5.37"/>
        <n v="13.425000000000001"/>
        <n v="26.73"/>
        <n v="111.78"/>
        <n v="189.75"/>
        <n v="14.85"/>
        <n v="44.75"/>
        <n v="13.75"/>
        <n v="55.89"/>
        <n v="21.48"/>
        <n v="22.885000000000002"/>
        <n v="45"/>
        <n v="74.25"/>
        <n v="43.74"/>
        <n v="8.91"/>
        <n v="46.62"/>
        <n v="43.019999999999996"/>
        <n v="137.31"/>
        <n v="167.67000000000002"/>
        <n v="63.4"/>
        <n v="26.849999999999998"/>
        <n v="24.75"/>
        <n v="49.5"/>
        <n v="8.9550000000000001"/>
        <n v="83.835000000000008"/>
        <n v="200.79000000000002"/>
        <n v="67.5"/>
        <n v="35.85"/>
        <n v="66.930000000000007"/>
        <n v="10.74"/>
        <n v="126.5"/>
        <n v="31.625"/>
        <n v="23.9"/>
        <n v="95.1"/>
        <n v="79.25"/>
        <n v="14.265000000000001"/>
        <n v="102.92500000000001"/>
        <n v="164.91"/>
        <n v="60.75"/>
        <n v="82.454999999999998"/>
        <n v="3.645"/>
        <n v="137.42500000000001"/>
        <n v="64.75"/>
        <n v="4.3650000000000002"/>
        <n v="34.92"/>
        <n v="35.799999999999997"/>
        <n v="8.9499999999999993"/>
        <n v="55"/>
        <n v="29.1"/>
        <n v="29.7"/>
        <n v="158.125"/>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Quarters (Order Date)" numFmtId="0" databaseField="0">
      <fieldGroup base="1">
        <rangePr groupBy="quarters" startDate="2019-01-02T00:00:00" endDate="2022-08-20T00:00:00"/>
        <groupItems count="6">
          <s v="&lt;1/2/2019"/>
          <s v="Qtr1"/>
          <s v="Qtr2"/>
          <s v="Qtr3"/>
          <s v="Qtr4"/>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7075407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x v="0"/>
    <s v="R-M-1"/>
    <x v="0"/>
    <x v="0"/>
    <x v="0"/>
    <s v="Aloisia Allner"/>
    <s v="Paterson"/>
    <s v="United States"/>
    <x v="0"/>
    <x v="0"/>
    <n v="9.9499999999999993"/>
    <x v="0"/>
  </r>
  <r>
    <s v="QEV-37451-860"/>
    <x v="0"/>
    <x v="0"/>
    <s v="E-M-0.5"/>
    <x v="1"/>
    <x v="0"/>
    <x v="1"/>
    <s v="Aloisia Allner"/>
    <s v="Paterson"/>
    <s v="United States"/>
    <x v="0"/>
    <x v="1"/>
    <n v="8.25"/>
    <x v="1"/>
  </r>
  <r>
    <s v="SZW-48378-399"/>
    <x v="1"/>
    <x v="1"/>
    <s v="R-M-1"/>
    <x v="0"/>
    <x v="0"/>
    <x v="0"/>
    <s v="Rosaleen Scholar"/>
    <s v="Richmond"/>
    <s v="United States"/>
    <x v="1"/>
    <x v="1"/>
    <n v="9.9499999999999993"/>
    <x v="2"/>
  </r>
  <r>
    <s v="OFX-99147-470"/>
    <x v="2"/>
    <x v="2"/>
    <s v="R-M-1"/>
    <x v="0"/>
    <x v="0"/>
    <x v="0"/>
    <s v="Hy Zanetto"/>
    <s v="Tucson"/>
    <s v="United States"/>
    <x v="0"/>
    <x v="2"/>
    <n v="9.9499999999999993"/>
    <x v="3"/>
  </r>
  <r>
    <s v="FAA-43335-268"/>
    <x v="3"/>
    <x v="3"/>
    <s v="A-L-1"/>
    <x v="2"/>
    <x v="1"/>
    <x v="0"/>
    <s v="Jami Redholes"/>
    <s v="San Antonio"/>
    <s v="United States"/>
    <x v="0"/>
    <x v="3"/>
    <n v="12.95"/>
    <x v="4"/>
  </r>
  <r>
    <s v="VMW-26889-781"/>
    <x v="4"/>
    <x v="4"/>
    <s v="A-L-0.2"/>
    <x v="2"/>
    <x v="1"/>
    <x v="2"/>
    <s v="Arda Curley"/>
    <s v="San Bernardino"/>
    <s v="United States"/>
    <x v="0"/>
    <x v="0"/>
    <n v="3.8849999999999998"/>
    <x v="5"/>
  </r>
  <r>
    <s v="KAC-83089-793"/>
    <x v="5"/>
    <x v="5"/>
    <s v="E-M-1"/>
    <x v="1"/>
    <x v="0"/>
    <x v="0"/>
    <s v="Christoffer O' Shea"/>
    <s v="Cill Airne"/>
    <s v="Ireland"/>
    <x v="1"/>
    <x v="0"/>
    <n v="13.75"/>
    <x v="6"/>
  </r>
  <r>
    <s v="KAC-83089-793"/>
    <x v="5"/>
    <x v="5"/>
    <s v="R-L-2.5"/>
    <x v="0"/>
    <x v="1"/>
    <x v="3"/>
    <s v="Christoffer O' Shea"/>
    <s v="Cill Airne"/>
    <s v="Ireland"/>
    <x v="1"/>
    <x v="0"/>
    <n v="27.484999999999999"/>
    <x v="7"/>
  </r>
  <r>
    <s v="HPI-42308-142"/>
    <x v="6"/>
    <x v="6"/>
    <s v="E-M-0.5"/>
    <x v="1"/>
    <x v="0"/>
    <x v="1"/>
    <s v="Olag Baudassi"/>
    <s v="Rochester"/>
    <s v="United States"/>
    <x v="0"/>
    <x v="0"/>
    <n v="8.25"/>
    <x v="8"/>
  </r>
  <r>
    <s v="CVP-18956-553"/>
    <x v="7"/>
    <x v="7"/>
    <s v="L-D-1"/>
    <x v="3"/>
    <x v="2"/>
    <x v="0"/>
    <s v="Beryle Cottier"/>
    <s v="Scranton"/>
    <s v="United States"/>
    <x v="1"/>
    <x v="4"/>
    <n v="12.95"/>
    <x v="9"/>
  </r>
  <r>
    <s v="IPP-31994-879"/>
    <x v="8"/>
    <x v="8"/>
    <s v="E-D-0.5"/>
    <x v="1"/>
    <x v="2"/>
    <x v="1"/>
    <s v="Shaylynn Lobe"/>
    <s v="Dayton"/>
    <s v="United States"/>
    <x v="0"/>
    <x v="4"/>
    <n v="7.29"/>
    <x v="10"/>
  </r>
  <r>
    <s v="RDW-33155-159"/>
    <x v="9"/>
    <x v="9"/>
    <s v="A-L-1"/>
    <x v="2"/>
    <x v="1"/>
    <x v="0"/>
    <s v="Rhianon Broxup"/>
    <s v="Houston"/>
    <s v="United States"/>
    <x v="1"/>
    <x v="2"/>
    <n v="12.95"/>
    <x v="11"/>
  </r>
  <r>
    <s v="SNZ-65340-705"/>
    <x v="10"/>
    <x v="10"/>
    <s v="L-L-0.2"/>
    <x v="3"/>
    <x v="1"/>
    <x v="2"/>
    <s v="Melvin Wharfe"/>
    <s v="Kill"/>
    <s v="Ireland"/>
    <x v="0"/>
    <x v="3"/>
    <n v="4.7549999999999999"/>
    <x v="12"/>
  </r>
  <r>
    <s v="EZT-46571-659"/>
    <x v="11"/>
    <x v="11"/>
    <s v="R-M-0.5"/>
    <x v="0"/>
    <x v="0"/>
    <x v="1"/>
    <s v="Guthrey Petracci"/>
    <s v="Los Angeles"/>
    <s v="United States"/>
    <x v="1"/>
    <x v="4"/>
    <n v="5.97"/>
    <x v="13"/>
  </r>
  <r>
    <s v="NWQ-70061-912"/>
    <x v="0"/>
    <x v="12"/>
    <s v="R-M-0.5"/>
    <x v="0"/>
    <x v="0"/>
    <x v="1"/>
    <s v="Rodger Raven"/>
    <s v="Los Angeles"/>
    <s v="United States"/>
    <x v="1"/>
    <x v="3"/>
    <n v="5.97"/>
    <x v="14"/>
  </r>
  <r>
    <s v="VAU-44387-624"/>
    <x v="12"/>
    <x v="13"/>
    <s v="A-M-0.2"/>
    <x v="2"/>
    <x v="0"/>
    <x v="2"/>
    <s v="Minni Alabaster"/>
    <s v="Portland"/>
    <s v="United States"/>
    <x v="1"/>
    <x v="2"/>
    <n v="3.375"/>
    <x v="15"/>
  </r>
  <r>
    <s v="BKK-47233-845"/>
    <x v="13"/>
    <x v="14"/>
    <s v="A-D-1"/>
    <x v="2"/>
    <x v="2"/>
    <x v="0"/>
    <s v="Ferrell Ferber"/>
    <s v="San Jose"/>
    <s v="United States"/>
    <x v="1"/>
    <x v="5"/>
    <n v="9.9499999999999993"/>
    <x v="16"/>
  </r>
  <r>
    <s v="IDU-25793-399"/>
    <x v="14"/>
    <x v="15"/>
    <s v="A-M-0.2"/>
    <x v="2"/>
    <x v="0"/>
    <x v="2"/>
    <s v="Aurea Corradino"/>
    <s v="New York City"/>
    <s v="United States"/>
    <x v="0"/>
    <x v="1"/>
    <n v="3.375"/>
    <x v="17"/>
  </r>
  <r>
    <s v="IDU-25793-399"/>
    <x v="14"/>
    <x v="15"/>
    <s v="E-D-0.2"/>
    <x v="1"/>
    <x v="2"/>
    <x v="2"/>
    <s v="Aurea Corradino"/>
    <s v="New York City"/>
    <s v="United States"/>
    <x v="0"/>
    <x v="5"/>
    <n v="3.645"/>
    <x v="18"/>
  </r>
  <r>
    <s v="VQR-01002-970"/>
    <x v="15"/>
    <x v="16"/>
    <s v="E-L-2.5"/>
    <x v="1"/>
    <x v="1"/>
    <x v="3"/>
    <s v="Duky Phizackerly"/>
    <s v="San Jose"/>
    <s v="United States"/>
    <x v="0"/>
    <x v="1"/>
    <n v="34.155000000000001"/>
    <x v="19"/>
  </r>
  <r>
    <s v="WAG-26945-689"/>
    <x v="16"/>
    <x v="17"/>
    <s v="A-M-0.2"/>
    <x v="2"/>
    <x v="0"/>
    <x v="2"/>
    <s v="Vivie Danneil"/>
    <s v="Tralee"/>
    <s v="Ireland"/>
    <x v="1"/>
    <x v="1"/>
    <n v="3.375"/>
    <x v="17"/>
  </r>
  <r>
    <s v="ITA-87418-783"/>
    <x v="17"/>
    <x v="18"/>
    <s v="R-D-2.5"/>
    <x v="0"/>
    <x v="2"/>
    <x v="3"/>
    <s v="Terence Vanyutin"/>
    <s v="Migrate"/>
    <s v="United States"/>
    <x v="1"/>
    <x v="0"/>
    <n v="20.585000000000001"/>
    <x v="20"/>
  </r>
  <r>
    <s v="EVP-43500-491"/>
    <x v="18"/>
    <x v="19"/>
    <s v="A-M-0.5"/>
    <x v="2"/>
    <x v="0"/>
    <x v="1"/>
    <s v="Selene Shales"/>
    <s v="Petaluma"/>
    <s v="United States"/>
    <x v="0"/>
    <x v="5"/>
    <n v="6.75"/>
    <x v="21"/>
  </r>
  <r>
    <s v="GNZ-46006-527"/>
    <x v="19"/>
    <x v="20"/>
    <s v="L-D-0.2"/>
    <x v="3"/>
    <x v="2"/>
    <x v="2"/>
    <s v="Patrice Trobe"/>
    <s v="Saint Louis"/>
    <s v="United States"/>
    <x v="0"/>
    <x v="4"/>
    <n v="3.8849999999999998"/>
    <x v="22"/>
  </r>
  <r>
    <s v="FYQ-78248-319"/>
    <x v="20"/>
    <x v="21"/>
    <s v="R-M-2.5"/>
    <x v="0"/>
    <x v="0"/>
    <x v="3"/>
    <s v="Llywellyn Oscroft"/>
    <s v="Philadelphia"/>
    <s v="United States"/>
    <x v="1"/>
    <x v="1"/>
    <n v="22.885000000000002"/>
    <x v="23"/>
  </r>
  <r>
    <s v="TKY-71558-096"/>
    <x v="21"/>
    <x v="22"/>
    <s v="A-M-1"/>
    <x v="2"/>
    <x v="0"/>
    <x v="0"/>
    <s v="Chrisy Blofeld"/>
    <s v="Englewood"/>
    <s v="United States"/>
    <x v="1"/>
    <x v="3"/>
    <n v="11.25"/>
    <x v="24"/>
  </r>
  <r>
    <s v="SCT-60553-454"/>
    <x v="22"/>
    <x v="23"/>
    <s v="L-L-0.2"/>
    <x v="3"/>
    <x v="1"/>
    <x v="2"/>
    <s v="Gallard Gatheral"/>
    <s v="Grand Forks"/>
    <s v="United States"/>
    <x v="1"/>
    <x v="1"/>
    <n v="4.7549999999999999"/>
    <x v="25"/>
  </r>
  <r>
    <s v="TDZ-59011-211"/>
    <x v="23"/>
    <x v="24"/>
    <s v="R-D-2.5"/>
    <x v="0"/>
    <x v="2"/>
    <x v="3"/>
    <s v="Pall Redford"/>
    <s v="Caherconlish"/>
    <s v="Ireland"/>
    <x v="0"/>
    <x v="5"/>
    <n v="20.585000000000001"/>
    <x v="26"/>
  </r>
  <r>
    <s v="NUO-20013-488"/>
    <x v="14"/>
    <x v="25"/>
    <s v="A-D-0.2"/>
    <x v="2"/>
    <x v="2"/>
    <x v="2"/>
    <s v="Avrit Davidowsky"/>
    <s v="Grand Rapids"/>
    <s v="United States"/>
    <x v="1"/>
    <x v="2"/>
    <n v="2.9849999999999999"/>
    <x v="13"/>
  </r>
  <r>
    <s v="FEO-11834-332"/>
    <x v="24"/>
    <x v="26"/>
    <s v="A-D-0.2"/>
    <x v="2"/>
    <x v="2"/>
    <x v="2"/>
    <s v="Iorgo Kleinert"/>
    <s v="Vancouver"/>
    <s v="United States"/>
    <x v="0"/>
    <x v="5"/>
    <n v="2.9849999999999999"/>
    <x v="27"/>
  </r>
  <r>
    <s v="UQU-65630-479"/>
    <x v="25"/>
    <x v="27"/>
    <s v="R-M-2.5"/>
    <x v="0"/>
    <x v="0"/>
    <x v="3"/>
    <s v="Annabel Antuk"/>
    <s v="Punta Gorda"/>
    <s v="United States"/>
    <x v="0"/>
    <x v="5"/>
    <n v="22.885000000000002"/>
    <x v="28"/>
  </r>
  <r>
    <s v="CHE-78995-767"/>
    <x v="26"/>
    <x v="28"/>
    <s v="A-D-0.5"/>
    <x v="2"/>
    <x v="2"/>
    <x v="1"/>
    <s v="Theresita Newbury"/>
    <s v="Clonskeagh"/>
    <s v="Ireland"/>
    <x v="1"/>
    <x v="4"/>
    <n v="5.97"/>
    <x v="13"/>
  </r>
  <r>
    <s v="WOQ-36015-429"/>
    <x v="27"/>
    <x v="29"/>
    <s v="A-D-0.5"/>
    <x v="2"/>
    <x v="2"/>
    <x v="1"/>
    <s v="Adrian Swaine"/>
    <s v="Aurora"/>
    <s v="United States"/>
    <x v="1"/>
    <x v="2"/>
    <n v="5.97"/>
    <x v="29"/>
  </r>
  <r>
    <s v="WOQ-36015-429"/>
    <x v="27"/>
    <x v="29"/>
    <s v="L-M-0.2"/>
    <x v="3"/>
    <x v="0"/>
    <x v="2"/>
    <s v="Adrian Swaine"/>
    <s v="Aurora"/>
    <s v="United States"/>
    <x v="1"/>
    <x v="1"/>
    <n v="4.3650000000000002"/>
    <x v="30"/>
  </r>
  <r>
    <s v="WOQ-36015-429"/>
    <x v="27"/>
    <x v="29"/>
    <s v="L-M-0.5"/>
    <x v="3"/>
    <x v="0"/>
    <x v="1"/>
    <s v="Adrian Swaine"/>
    <s v="Aurora"/>
    <s v="United States"/>
    <x v="1"/>
    <x v="2"/>
    <n v="8.73"/>
    <x v="31"/>
  </r>
  <r>
    <s v="AMM-79521-378"/>
    <x v="28"/>
    <x v="30"/>
    <s v="A-D-0.5"/>
    <x v="2"/>
    <x v="2"/>
    <x v="1"/>
    <s v="Faber Eilhart"/>
    <s v="Charleston"/>
    <s v="United States"/>
    <x v="1"/>
    <x v="2"/>
    <n v="5.97"/>
    <x v="29"/>
  </r>
  <r>
    <s v="OXY-65322-253"/>
    <x v="29"/>
    <x v="31"/>
    <s v="E-M-0.2"/>
    <x v="1"/>
    <x v="0"/>
    <x v="2"/>
    <s v="Culley Farris"/>
    <s v="Punta Gorda"/>
    <s v="United States"/>
    <x v="0"/>
    <x v="4"/>
    <n v="4.125"/>
    <x v="32"/>
  </r>
  <r>
    <s v="RYZ-14633-602"/>
    <x v="18"/>
    <x v="32"/>
    <s v="A-D-1"/>
    <x v="2"/>
    <x v="2"/>
    <x v="0"/>
    <s v="Mozelle Calcutt"/>
    <s v="Rathwire"/>
    <s v="Ireland"/>
    <x v="0"/>
    <x v="5"/>
    <n v="9.9499999999999993"/>
    <x v="16"/>
  </r>
  <r>
    <s v="DBU-81099-586"/>
    <x v="30"/>
    <x v="33"/>
    <s v="A-D-2.5"/>
    <x v="2"/>
    <x v="2"/>
    <x v="3"/>
    <s v="Raynor McGilvary"/>
    <s v="Norfolk"/>
    <s v="United States"/>
    <x v="1"/>
    <x v="5"/>
    <n v="22.885000000000002"/>
    <x v="28"/>
  </r>
  <r>
    <s v="GFK-52063-244"/>
    <x v="31"/>
    <x v="34"/>
    <s v="L-L-0.5"/>
    <x v="3"/>
    <x v="1"/>
    <x v="1"/>
    <s v="Una Welberry"/>
    <s v="Upton"/>
    <s v="United Kingdom"/>
    <x v="0"/>
    <x v="2"/>
    <n v="9.51"/>
    <x v="33"/>
  </r>
  <r>
    <s v="HCT-95608-959"/>
    <x v="32"/>
    <x v="35"/>
    <s v="R-M-2.5"/>
    <x v="0"/>
    <x v="0"/>
    <x v="3"/>
    <s v="Dorie de la Tremoille"/>
    <s v="Minneapolis"/>
    <s v="United States"/>
    <x v="1"/>
    <x v="1"/>
    <n v="22.885000000000002"/>
    <x v="23"/>
  </r>
  <r>
    <s v="QUQ-90580-772"/>
    <x v="33"/>
    <x v="36"/>
    <s v="L-M-0.2"/>
    <x v="3"/>
    <x v="0"/>
    <x v="2"/>
    <s v="Zorina Ponting"/>
    <s v="Little Rock"/>
    <s v="United States"/>
    <x v="1"/>
    <x v="0"/>
    <n v="4.3650000000000002"/>
    <x v="34"/>
  </r>
  <r>
    <s v="XWC-20610-167"/>
    <x v="34"/>
    <x v="37"/>
    <s v="E-D-0.2"/>
    <x v="1"/>
    <x v="2"/>
    <x v="2"/>
    <s v="Lorenzo Yeoland"/>
    <s v="Hartford"/>
    <s v="United States"/>
    <x v="0"/>
    <x v="0"/>
    <n v="3.645"/>
    <x v="35"/>
  </r>
  <r>
    <s v="LGD-24408-274"/>
    <x v="35"/>
    <x v="38"/>
    <s v="L-L-0.5"/>
    <x v="3"/>
    <x v="1"/>
    <x v="1"/>
    <s v="Silvio Strase"/>
    <s v="Denver"/>
    <s v="United States"/>
    <x v="1"/>
    <x v="4"/>
    <n v="9.51"/>
    <x v="36"/>
  </r>
  <r>
    <s v="GPU-79113-136"/>
    <x v="36"/>
    <x v="39"/>
    <s v="R-D-0.2"/>
    <x v="0"/>
    <x v="2"/>
    <x v="2"/>
    <s v="Abigail Tolworthy"/>
    <s v="Ogden"/>
    <s v="United States"/>
    <x v="0"/>
    <x v="4"/>
    <n v="2.6850000000000001"/>
    <x v="37"/>
  </r>
  <r>
    <s v="LUO-37559-016"/>
    <x v="37"/>
    <x v="40"/>
    <s v="L-M-1"/>
    <x v="3"/>
    <x v="0"/>
    <x v="0"/>
    <s v="Jessica McNess"/>
    <s v="New Orleans"/>
    <s v="United States"/>
    <x v="1"/>
    <x v="4"/>
    <n v="14.55"/>
    <x v="38"/>
  </r>
  <r>
    <s v="ULR-52653-960"/>
    <x v="38"/>
    <x v="41"/>
    <s v="L-L-2.5"/>
    <x v="3"/>
    <x v="1"/>
    <x v="3"/>
    <s v="Maurie Bartol"/>
    <s v="Boston"/>
    <s v="United States"/>
    <x v="1"/>
    <x v="0"/>
    <n v="36.454999999999998"/>
    <x v="39"/>
  </r>
  <r>
    <s v="XHI-30227-581"/>
    <x v="39"/>
    <x v="42"/>
    <s v="L-D-2.5"/>
    <x v="3"/>
    <x v="2"/>
    <x v="3"/>
    <s v="Petey Kingsbury"/>
    <s v="Bronx"/>
    <s v="United States"/>
    <x v="1"/>
    <x v="2"/>
    <n v="29.785"/>
    <x v="40"/>
  </r>
  <r>
    <s v="DJH-05202-380"/>
    <x v="40"/>
    <x v="43"/>
    <s v="E-M-2.5"/>
    <x v="1"/>
    <x v="0"/>
    <x v="3"/>
    <s v="Donna Baskeyfied"/>
    <s v="Birmingham"/>
    <s v="United States"/>
    <x v="0"/>
    <x v="0"/>
    <n v="31.625"/>
    <x v="41"/>
  </r>
  <r>
    <s v="PQA-54820-810"/>
    <x v="41"/>
    <x v="44"/>
    <s v="A-L-1"/>
    <x v="2"/>
    <x v="1"/>
    <x v="0"/>
    <s v="Isis Pikett"/>
    <s v="Washington"/>
    <s v="United States"/>
    <x v="1"/>
    <x v="4"/>
    <n v="12.95"/>
    <x v="9"/>
  </r>
  <r>
    <s v="XKB-41924-202"/>
    <x v="42"/>
    <x v="45"/>
    <s v="L-D-0.5"/>
    <x v="3"/>
    <x v="2"/>
    <x v="1"/>
    <s v="Inger Bouldon"/>
    <s v="Fort Lauderdale"/>
    <s v="United States"/>
    <x v="1"/>
    <x v="0"/>
    <n v="7.77"/>
    <x v="42"/>
  </r>
  <r>
    <s v="DWZ-69106-473"/>
    <x v="43"/>
    <x v="46"/>
    <s v="L-L-2.5"/>
    <x v="3"/>
    <x v="1"/>
    <x v="3"/>
    <s v="Karry Flanders"/>
    <s v="Crumlin"/>
    <s v="Ireland"/>
    <x v="0"/>
    <x v="5"/>
    <n v="36.454999999999998"/>
    <x v="43"/>
  </r>
  <r>
    <s v="YHV-68700-050"/>
    <x v="44"/>
    <x v="47"/>
    <s v="R-M-0.5"/>
    <x v="0"/>
    <x v="0"/>
    <x v="1"/>
    <s v="Hartley Mattioli"/>
    <s v="Kinloch"/>
    <s v="United Kingdom"/>
    <x v="1"/>
    <x v="1"/>
    <n v="5.97"/>
    <x v="44"/>
  </r>
  <r>
    <s v="YHV-68700-050"/>
    <x v="44"/>
    <x v="47"/>
    <s v="L-L-2.5"/>
    <x v="3"/>
    <x v="1"/>
    <x v="3"/>
    <s v="Hartley Mattioli"/>
    <s v="Kinloch"/>
    <s v="United Kingdom"/>
    <x v="1"/>
    <x v="0"/>
    <n v="36.454999999999998"/>
    <x v="39"/>
  </r>
  <r>
    <s v="KRB-88066-642"/>
    <x v="45"/>
    <x v="48"/>
    <s v="L-M-1"/>
    <x v="3"/>
    <x v="0"/>
    <x v="0"/>
    <s v="Archambault Gillard"/>
    <s v="Toledo"/>
    <s v="United States"/>
    <x v="1"/>
    <x v="1"/>
    <n v="14.55"/>
    <x v="45"/>
  </r>
  <r>
    <s v="LQU-08404-173"/>
    <x v="46"/>
    <x v="49"/>
    <s v="L-L-1"/>
    <x v="3"/>
    <x v="1"/>
    <x v="0"/>
    <s v="Salomo Cushworth"/>
    <s v="Trenton"/>
    <s v="United States"/>
    <x v="1"/>
    <x v="4"/>
    <n v="15.85"/>
    <x v="46"/>
  </r>
  <r>
    <s v="CWK-60159-881"/>
    <x v="47"/>
    <x v="50"/>
    <s v="E-D-0.2"/>
    <x v="1"/>
    <x v="2"/>
    <x v="2"/>
    <s v="Theda Grizard"/>
    <s v="Tampa"/>
    <s v="United States"/>
    <x v="0"/>
    <x v="4"/>
    <n v="3.645"/>
    <x v="47"/>
  </r>
  <r>
    <s v="EEG-74197-843"/>
    <x v="48"/>
    <x v="51"/>
    <s v="E-L-1"/>
    <x v="1"/>
    <x v="1"/>
    <x v="0"/>
    <s v="Rozele Relton"/>
    <s v="Pensacola"/>
    <s v="United States"/>
    <x v="1"/>
    <x v="5"/>
    <n v="14.85"/>
    <x v="48"/>
  </r>
  <r>
    <s v="UCZ-59708-525"/>
    <x v="49"/>
    <x v="52"/>
    <s v="L-D-2.5"/>
    <x v="3"/>
    <x v="2"/>
    <x v="3"/>
    <s v="Willa Rolling"/>
    <s v="Zephyrhills"/>
    <s v="United States"/>
    <x v="0"/>
    <x v="4"/>
    <n v="29.785"/>
    <x v="49"/>
  </r>
  <r>
    <s v="HUB-47311-849"/>
    <x v="50"/>
    <x v="53"/>
    <s v="L-M-0.5"/>
    <x v="3"/>
    <x v="0"/>
    <x v="1"/>
    <s v="Stanislaus Gilroy"/>
    <s v="Saint Paul"/>
    <s v="United States"/>
    <x v="0"/>
    <x v="4"/>
    <n v="8.73"/>
    <x v="50"/>
  </r>
  <r>
    <s v="WYM-17686-694"/>
    <x v="51"/>
    <x v="54"/>
    <s v="A-D-2.5"/>
    <x v="2"/>
    <x v="2"/>
    <x v="3"/>
    <s v="Correy Cottingham"/>
    <s v="Fort Wayne"/>
    <s v="United States"/>
    <x v="1"/>
    <x v="1"/>
    <n v="22.885000000000002"/>
    <x v="23"/>
  </r>
  <r>
    <s v="ZYQ-15797-695"/>
    <x v="52"/>
    <x v="55"/>
    <s v="R-D-0.5"/>
    <x v="0"/>
    <x v="2"/>
    <x v="1"/>
    <s v="Pammi Endacott"/>
    <s v="Wootton"/>
    <s v="United Kingdom"/>
    <x v="0"/>
    <x v="1"/>
    <n v="5.37"/>
    <x v="51"/>
  </r>
  <r>
    <s v="EEJ-16185-108"/>
    <x v="53"/>
    <x v="56"/>
    <s v="L-L-0.2"/>
    <x v="3"/>
    <x v="1"/>
    <x v="2"/>
    <s v="Nona Linklater"/>
    <s v="Naples"/>
    <s v="United States"/>
    <x v="0"/>
    <x v="1"/>
    <n v="4.7549999999999999"/>
    <x v="25"/>
  </r>
  <r>
    <s v="RWR-77888-800"/>
    <x v="54"/>
    <x v="57"/>
    <s v="A-M-0.5"/>
    <x v="2"/>
    <x v="0"/>
    <x v="1"/>
    <s v="Annadiane Dykes"/>
    <s v="Chicago"/>
    <s v="United States"/>
    <x v="1"/>
    <x v="3"/>
    <n v="6.75"/>
    <x v="52"/>
  </r>
  <r>
    <s v="LHN-75209-742"/>
    <x v="55"/>
    <x v="58"/>
    <s v="R-M-0.5"/>
    <x v="0"/>
    <x v="0"/>
    <x v="1"/>
    <s v="Felecia Dodgson"/>
    <s v="Newark"/>
    <s v="United States"/>
    <x v="0"/>
    <x v="2"/>
    <n v="5.97"/>
    <x v="29"/>
  </r>
  <r>
    <s v="TIR-71396-998"/>
    <x v="56"/>
    <x v="59"/>
    <s v="R-D-2.5"/>
    <x v="0"/>
    <x v="2"/>
    <x v="3"/>
    <s v="Angelia Cockrem"/>
    <s v="Vienna"/>
    <s v="United States"/>
    <x v="0"/>
    <x v="5"/>
    <n v="20.585000000000001"/>
    <x v="26"/>
  </r>
  <r>
    <s v="RXF-37618-213"/>
    <x v="57"/>
    <x v="60"/>
    <s v="R-L-0.5"/>
    <x v="0"/>
    <x v="1"/>
    <x v="1"/>
    <s v="Belvia Umpleby"/>
    <s v="Fort Worth"/>
    <s v="United States"/>
    <x v="0"/>
    <x v="3"/>
    <n v="7.17"/>
    <x v="53"/>
  </r>
  <r>
    <s v="ANM-16388-634"/>
    <x v="58"/>
    <x v="61"/>
    <s v="L-L-0.2"/>
    <x v="3"/>
    <x v="1"/>
    <x v="2"/>
    <s v="Nat Saleway"/>
    <s v="Burbank"/>
    <s v="United States"/>
    <x v="1"/>
    <x v="0"/>
    <n v="4.7549999999999999"/>
    <x v="54"/>
  </r>
  <r>
    <s v="WYL-29300-070"/>
    <x v="59"/>
    <x v="62"/>
    <s v="R-M-0.2"/>
    <x v="0"/>
    <x v="0"/>
    <x v="2"/>
    <s v="Hayward Goulter"/>
    <s v="Kingsport"/>
    <s v="United States"/>
    <x v="1"/>
    <x v="3"/>
    <n v="2.9849999999999999"/>
    <x v="55"/>
  </r>
  <r>
    <s v="JHW-74554-805"/>
    <x v="60"/>
    <x v="63"/>
    <s v="R-M-1"/>
    <x v="0"/>
    <x v="0"/>
    <x v="0"/>
    <s v="Gay Rizzello"/>
    <s v="Liverpool"/>
    <s v="United Kingdom"/>
    <x v="0"/>
    <x v="2"/>
    <n v="9.9499999999999993"/>
    <x v="3"/>
  </r>
  <r>
    <s v="KYS-27063-603"/>
    <x v="61"/>
    <x v="64"/>
    <s v="E-L-2.5"/>
    <x v="1"/>
    <x v="1"/>
    <x v="3"/>
    <s v="Shannon List"/>
    <s v="Columbus"/>
    <s v="United States"/>
    <x v="1"/>
    <x v="5"/>
    <n v="34.155000000000001"/>
    <x v="56"/>
  </r>
  <r>
    <s v="GAZ-58626-277"/>
    <x v="62"/>
    <x v="65"/>
    <s v="L-L-0.2"/>
    <x v="3"/>
    <x v="1"/>
    <x v="2"/>
    <s v="Shirlene Edmondson"/>
    <s v="Newmarket on Fergus"/>
    <s v="Ireland"/>
    <x v="1"/>
    <x v="0"/>
    <n v="4.7549999999999999"/>
    <x v="54"/>
  </r>
  <r>
    <s v="RPJ-37787-335"/>
    <x v="63"/>
    <x v="66"/>
    <s v="A-M-2.5"/>
    <x v="2"/>
    <x v="0"/>
    <x v="3"/>
    <s v="Aurlie McCarl"/>
    <s v="New Orleans"/>
    <s v="United States"/>
    <x v="1"/>
    <x v="4"/>
    <n v="25.875"/>
    <x v="57"/>
  </r>
  <r>
    <s v="LEF-83057-763"/>
    <x v="64"/>
    <x v="67"/>
    <s v="L-M-0.2"/>
    <x v="3"/>
    <x v="0"/>
    <x v="2"/>
    <s v="Alikee Carryer"/>
    <s v="Charlotte"/>
    <s v="United States"/>
    <x v="0"/>
    <x v="1"/>
    <n v="4.3650000000000002"/>
    <x v="30"/>
  </r>
  <r>
    <s v="RPW-36123-215"/>
    <x v="65"/>
    <x v="68"/>
    <s v="E-L-0.5"/>
    <x v="1"/>
    <x v="1"/>
    <x v="1"/>
    <s v="Jennifer Rangall"/>
    <s v="Springfield"/>
    <s v="United States"/>
    <x v="0"/>
    <x v="0"/>
    <n v="8.91"/>
    <x v="58"/>
  </r>
  <r>
    <s v="WLL-59044-117"/>
    <x v="66"/>
    <x v="69"/>
    <s v="R-D-1"/>
    <x v="0"/>
    <x v="2"/>
    <x v="0"/>
    <s v="Kipper Boorn"/>
    <s v="Listowel"/>
    <s v="Ireland"/>
    <x v="0"/>
    <x v="2"/>
    <n v="8.9499999999999993"/>
    <x v="59"/>
  </r>
  <r>
    <s v="AWT-22827-563"/>
    <x v="67"/>
    <x v="70"/>
    <s v="R-L-0.2"/>
    <x v="0"/>
    <x v="1"/>
    <x v="2"/>
    <s v="Melania Beadle"/>
    <s v="Moycullen"/>
    <s v="Ireland"/>
    <x v="0"/>
    <x v="3"/>
    <n v="3.585"/>
    <x v="60"/>
  </r>
  <r>
    <s v="QLM-07145-668"/>
    <x v="68"/>
    <x v="71"/>
    <s v="E-D-0.2"/>
    <x v="1"/>
    <x v="2"/>
    <x v="2"/>
    <s v="Colene Elgey"/>
    <s v="Midland"/>
    <s v="United States"/>
    <x v="1"/>
    <x v="0"/>
    <n v="3.645"/>
    <x v="35"/>
  </r>
  <r>
    <s v="HVQ-64398-930"/>
    <x v="69"/>
    <x v="72"/>
    <s v="A-M-0.5"/>
    <x v="2"/>
    <x v="0"/>
    <x v="1"/>
    <s v="Lothaire Mizzi"/>
    <s v="Dallas"/>
    <s v="United States"/>
    <x v="0"/>
    <x v="2"/>
    <n v="6.75"/>
    <x v="61"/>
  </r>
  <r>
    <s v="WRT-40778-247"/>
    <x v="70"/>
    <x v="73"/>
    <s v="R-L-1"/>
    <x v="0"/>
    <x v="1"/>
    <x v="0"/>
    <s v="Cletis Giacomazzo"/>
    <s v="Dulles"/>
    <s v="United States"/>
    <x v="1"/>
    <x v="5"/>
    <n v="11.95"/>
    <x v="62"/>
  </r>
  <r>
    <s v="SUB-13006-125"/>
    <x v="71"/>
    <x v="74"/>
    <s v="A-L-0.5"/>
    <x v="2"/>
    <x v="1"/>
    <x v="1"/>
    <s v="Ami Arnow"/>
    <s v="Oakland"/>
    <s v="United States"/>
    <x v="0"/>
    <x v="1"/>
    <n v="7.77"/>
    <x v="9"/>
  </r>
  <r>
    <s v="CQM-49696-263"/>
    <x v="72"/>
    <x v="75"/>
    <s v="L-L-2.5"/>
    <x v="3"/>
    <x v="1"/>
    <x v="3"/>
    <s v="Sheppard Yann"/>
    <s v="Colorado Springs"/>
    <s v="United States"/>
    <x v="0"/>
    <x v="4"/>
    <n v="36.454999999999998"/>
    <x v="63"/>
  </r>
  <r>
    <s v="KXN-85094-246"/>
    <x v="73"/>
    <x v="76"/>
    <s v="L-M-2.5"/>
    <x v="3"/>
    <x v="0"/>
    <x v="3"/>
    <s v="Bunny Naulls"/>
    <s v="Adare"/>
    <s v="Ireland"/>
    <x v="0"/>
    <x v="4"/>
    <n v="33.465000000000003"/>
    <x v="64"/>
  </r>
  <r>
    <s v="XOQ-12405-419"/>
    <x v="74"/>
    <x v="77"/>
    <s v="R-D-2.5"/>
    <x v="0"/>
    <x v="2"/>
    <x v="3"/>
    <s v="Hally Lorait"/>
    <s v="Buffalo"/>
    <s v="United States"/>
    <x v="0"/>
    <x v="5"/>
    <n v="20.585000000000001"/>
    <x v="26"/>
  </r>
  <r>
    <s v="HYF-10254-369"/>
    <x v="75"/>
    <x v="78"/>
    <s v="L-L-0.5"/>
    <x v="3"/>
    <x v="1"/>
    <x v="1"/>
    <s v="Zaccaria Sherewood"/>
    <s v="Fresno"/>
    <s v="United States"/>
    <x v="1"/>
    <x v="3"/>
    <n v="9.51"/>
    <x v="54"/>
  </r>
  <r>
    <s v="XXJ-47000-307"/>
    <x v="76"/>
    <x v="79"/>
    <s v="A-L-2.5"/>
    <x v="2"/>
    <x v="1"/>
    <x v="3"/>
    <s v="Jeffrey Dufaire"/>
    <s v="Fort Worth"/>
    <s v="United States"/>
    <x v="1"/>
    <x v="4"/>
    <n v="29.785"/>
    <x v="49"/>
  </r>
  <r>
    <s v="XXJ-47000-307"/>
    <x v="76"/>
    <x v="79"/>
    <s v="A-D-0.2"/>
    <x v="2"/>
    <x v="2"/>
    <x v="2"/>
    <s v="Jeffrey Dufaire"/>
    <s v="Fort Worth"/>
    <s v="United States"/>
    <x v="1"/>
    <x v="5"/>
    <n v="2.9849999999999999"/>
    <x v="27"/>
  </r>
  <r>
    <s v="ZFS-30776-804"/>
    <x v="77"/>
    <x v="80"/>
    <s v="A-L-0.5"/>
    <x v="2"/>
    <x v="1"/>
    <x v="1"/>
    <s v="Blancha McAmish"/>
    <s v="Oklahoma City"/>
    <s v="United States"/>
    <x v="0"/>
    <x v="1"/>
    <n v="7.77"/>
    <x v="9"/>
  </r>
  <r>
    <s v="ZDK-82166-357"/>
    <x v="78"/>
    <x v="81"/>
    <s v="A-M-1"/>
    <x v="2"/>
    <x v="0"/>
    <x v="0"/>
    <s v="Beitris Keaveney"/>
    <s v="Beaumont"/>
    <s v="United States"/>
    <x v="1"/>
    <x v="4"/>
    <n v="11.25"/>
    <x v="65"/>
  </r>
  <r>
    <s v="IHN-19982-362"/>
    <x v="79"/>
    <x v="82"/>
    <s v="R-L-1"/>
    <x v="0"/>
    <x v="1"/>
    <x v="0"/>
    <s v="Elna Grise"/>
    <s v="Reno"/>
    <s v="United States"/>
    <x v="1"/>
    <x v="4"/>
    <n v="11.95"/>
    <x v="66"/>
  </r>
  <r>
    <s v="VMT-10030-889"/>
    <x v="80"/>
    <x v="83"/>
    <s v="A-L-1"/>
    <x v="2"/>
    <x v="1"/>
    <x v="0"/>
    <s v="Torie Gottelier"/>
    <s v="Kansas City"/>
    <s v="United States"/>
    <x v="1"/>
    <x v="2"/>
    <n v="12.95"/>
    <x v="11"/>
  </r>
  <r>
    <s v="NHL-11063-100"/>
    <x v="81"/>
    <x v="84"/>
    <s v="A-L-1"/>
    <x v="2"/>
    <x v="1"/>
    <x v="0"/>
    <s v="Loydie Langlais"/>
    <s v="Crumlin"/>
    <s v="Ireland"/>
    <x v="0"/>
    <x v="5"/>
    <n v="12.95"/>
    <x v="67"/>
  </r>
  <r>
    <s v="ROV-87448-086"/>
    <x v="82"/>
    <x v="85"/>
    <s v="A-M-2.5"/>
    <x v="2"/>
    <x v="0"/>
    <x v="3"/>
    <s v="Adham Greenhead"/>
    <s v="Corona"/>
    <s v="United States"/>
    <x v="1"/>
    <x v="5"/>
    <n v="25.875"/>
    <x v="68"/>
  </r>
  <r>
    <s v="DGY-35773-612"/>
    <x v="83"/>
    <x v="86"/>
    <s v="E-L-1"/>
    <x v="1"/>
    <x v="1"/>
    <x v="0"/>
    <s v="Hamish MacSherry"/>
    <s v="Austin"/>
    <s v="United States"/>
    <x v="0"/>
    <x v="4"/>
    <n v="14.85"/>
    <x v="69"/>
  </r>
  <r>
    <s v="YWH-50638-556"/>
    <x v="84"/>
    <x v="87"/>
    <s v="E-L-0.5"/>
    <x v="1"/>
    <x v="1"/>
    <x v="1"/>
    <s v="Else Langcaster"/>
    <s v="Normanton"/>
    <s v="United Kingdom"/>
    <x v="0"/>
    <x v="5"/>
    <n v="8.91"/>
    <x v="70"/>
  </r>
  <r>
    <s v="ISL-11200-600"/>
    <x v="85"/>
    <x v="88"/>
    <s v="A-D-0.2"/>
    <x v="2"/>
    <x v="2"/>
    <x v="2"/>
    <s v="Rudy Farquharson"/>
    <s v="Charlesland"/>
    <s v="Ireland"/>
    <x v="0"/>
    <x v="2"/>
    <n v="2.9849999999999999"/>
    <x v="13"/>
  </r>
  <r>
    <s v="LBZ-75997-047"/>
    <x v="86"/>
    <x v="89"/>
    <s v="A-M-2.5"/>
    <x v="2"/>
    <x v="0"/>
    <x v="3"/>
    <s v="Norene Magauran"/>
    <s v="Fresno"/>
    <s v="United States"/>
    <x v="1"/>
    <x v="2"/>
    <n v="25.875"/>
    <x v="71"/>
  </r>
  <r>
    <s v="EUH-08089-954"/>
    <x v="87"/>
    <x v="90"/>
    <s v="A-D-0.2"/>
    <x v="2"/>
    <x v="2"/>
    <x v="2"/>
    <s v="Vicki Kirdsch"/>
    <s v="Saint Louis"/>
    <s v="United States"/>
    <x v="1"/>
    <x v="0"/>
    <n v="2.9849999999999999"/>
    <x v="14"/>
  </r>
  <r>
    <s v="BLD-12227-251"/>
    <x v="88"/>
    <x v="91"/>
    <s v="A-M-0.5"/>
    <x v="2"/>
    <x v="0"/>
    <x v="1"/>
    <s v="Ilysa Whapple"/>
    <s v="Fresno"/>
    <s v="United States"/>
    <x v="1"/>
    <x v="0"/>
    <n v="6.75"/>
    <x v="72"/>
  </r>
  <r>
    <s v="OPY-30711-853"/>
    <x v="22"/>
    <x v="92"/>
    <s v="A-D-0.2"/>
    <x v="2"/>
    <x v="2"/>
    <x v="2"/>
    <s v="Ruy Cancellieri"/>
    <s v="Confey"/>
    <s v="Ireland"/>
    <x v="1"/>
    <x v="3"/>
    <n v="2.9849999999999999"/>
    <x v="55"/>
  </r>
  <r>
    <s v="DBC-44122-300"/>
    <x v="89"/>
    <x v="93"/>
    <s v="L-M-0.2"/>
    <x v="3"/>
    <x v="0"/>
    <x v="2"/>
    <s v="Aube Follett"/>
    <s v="Columbus"/>
    <s v="United States"/>
    <x v="0"/>
    <x v="4"/>
    <n v="4.3650000000000002"/>
    <x v="73"/>
  </r>
  <r>
    <s v="FJQ-60035-234"/>
    <x v="90"/>
    <x v="94"/>
    <s v="A-L-0.2"/>
    <x v="2"/>
    <x v="1"/>
    <x v="2"/>
    <s v="Rudiger Di Bartolomeo"/>
    <s v="Stockton"/>
    <s v="United States"/>
    <x v="0"/>
    <x v="0"/>
    <n v="3.8849999999999998"/>
    <x v="5"/>
  </r>
  <r>
    <s v="HSF-66926-425"/>
    <x v="91"/>
    <x v="95"/>
    <s v="L-D-2.5"/>
    <x v="3"/>
    <x v="2"/>
    <x v="3"/>
    <s v="Nickey Youles"/>
    <s v="Edgeworthstown"/>
    <s v="Ireland"/>
    <x v="0"/>
    <x v="1"/>
    <n v="29.785"/>
    <x v="74"/>
  </r>
  <r>
    <s v="LQG-41416-375"/>
    <x v="92"/>
    <x v="96"/>
    <s v="L-D-1"/>
    <x v="3"/>
    <x v="2"/>
    <x v="0"/>
    <s v="Dyanna Aizikovitz"/>
    <s v="Leixlip"/>
    <s v="Ireland"/>
    <x v="0"/>
    <x v="4"/>
    <n v="12.95"/>
    <x v="9"/>
  </r>
  <r>
    <s v="VZO-97265-841"/>
    <x v="93"/>
    <x v="97"/>
    <s v="R-M-0.2"/>
    <x v="0"/>
    <x v="0"/>
    <x v="2"/>
    <s v="Bram Revel"/>
    <s v="Rochester"/>
    <s v="United States"/>
    <x v="1"/>
    <x v="5"/>
    <n v="2.9849999999999999"/>
    <x v="27"/>
  </r>
  <r>
    <s v="MOR-12987-399"/>
    <x v="94"/>
    <x v="98"/>
    <s v="L-M-1"/>
    <x v="3"/>
    <x v="0"/>
    <x v="0"/>
    <s v="Emiline Priddis"/>
    <s v="Tuscaloosa"/>
    <s v="United States"/>
    <x v="1"/>
    <x v="2"/>
    <n v="14.55"/>
    <x v="75"/>
  </r>
  <r>
    <s v="UOA-23786-489"/>
    <x v="95"/>
    <x v="99"/>
    <s v="A-M-0.5"/>
    <x v="2"/>
    <x v="0"/>
    <x v="1"/>
    <s v="Queenie Veel"/>
    <s v="Houston"/>
    <s v="United States"/>
    <x v="0"/>
    <x v="2"/>
    <n v="6.75"/>
    <x v="61"/>
  </r>
  <r>
    <s v="AJL-52941-018"/>
    <x v="96"/>
    <x v="100"/>
    <s v="E-D-1"/>
    <x v="1"/>
    <x v="2"/>
    <x v="0"/>
    <s v="Lind Conyers"/>
    <s v="El Paso"/>
    <s v="United States"/>
    <x v="1"/>
    <x v="0"/>
    <n v="12.15"/>
    <x v="76"/>
  </r>
  <r>
    <s v="XSZ-84273-421"/>
    <x v="97"/>
    <x v="101"/>
    <s v="R-M-0.5"/>
    <x v="0"/>
    <x v="0"/>
    <x v="1"/>
    <s v="Pen Wye"/>
    <s v="Colorado Springs"/>
    <s v="United States"/>
    <x v="0"/>
    <x v="4"/>
    <n v="5.97"/>
    <x v="13"/>
  </r>
  <r>
    <s v="NUN-48214-216"/>
    <x v="98"/>
    <x v="102"/>
    <s v="A-M-0.5"/>
    <x v="2"/>
    <x v="0"/>
    <x v="1"/>
    <s v="Isahella Hagland"/>
    <s v="Fort Wayne"/>
    <s v="United States"/>
    <x v="1"/>
    <x v="5"/>
    <n v="6.75"/>
    <x v="21"/>
  </r>
  <r>
    <s v="AKV-93064-769"/>
    <x v="99"/>
    <x v="103"/>
    <s v="L-D-0.5"/>
    <x v="3"/>
    <x v="2"/>
    <x v="1"/>
    <s v="Terry Sheryn"/>
    <s v="Port Washington"/>
    <s v="United States"/>
    <x v="0"/>
    <x v="3"/>
    <n v="7.77"/>
    <x v="5"/>
  </r>
  <r>
    <s v="BRB-40903-533"/>
    <x v="100"/>
    <x v="104"/>
    <s v="E-L-0.2"/>
    <x v="1"/>
    <x v="1"/>
    <x v="2"/>
    <s v="Marie-jeanne Redgrave"/>
    <s v="Springfield"/>
    <s v="United States"/>
    <x v="0"/>
    <x v="4"/>
    <n v="4.4550000000000001"/>
    <x v="77"/>
  </r>
  <r>
    <s v="GPR-19973-483"/>
    <x v="101"/>
    <x v="105"/>
    <s v="R-D-0.5"/>
    <x v="0"/>
    <x v="2"/>
    <x v="1"/>
    <s v="Betty Fominov"/>
    <s v="Pensacola"/>
    <s v="United States"/>
    <x v="1"/>
    <x v="1"/>
    <n v="5.37"/>
    <x v="51"/>
  </r>
  <r>
    <s v="XIY-43041-882"/>
    <x v="102"/>
    <x v="106"/>
    <s v="A-M-1"/>
    <x v="2"/>
    <x v="0"/>
    <x v="0"/>
    <s v="Shawnee Critchlow"/>
    <s v="Richmond"/>
    <s v="United States"/>
    <x v="1"/>
    <x v="3"/>
    <n v="11.25"/>
    <x v="24"/>
  </r>
  <r>
    <s v="YGY-98425-969"/>
    <x v="103"/>
    <x v="107"/>
    <s v="L-M-1"/>
    <x v="3"/>
    <x v="0"/>
    <x v="0"/>
    <s v="Merrel Steptow"/>
    <s v="Cherryville"/>
    <s v="Ireland"/>
    <x v="1"/>
    <x v="3"/>
    <n v="14.55"/>
    <x v="78"/>
  </r>
  <r>
    <s v="MSB-08397-648"/>
    <x v="104"/>
    <x v="108"/>
    <s v="R-L-0.2"/>
    <x v="0"/>
    <x v="1"/>
    <x v="2"/>
    <s v="Carmina Hubbuck"/>
    <s v="Huntington"/>
    <s v="United States"/>
    <x v="1"/>
    <x v="5"/>
    <n v="3.585"/>
    <x v="79"/>
  </r>
  <r>
    <s v="WDR-06028-345"/>
    <x v="105"/>
    <x v="109"/>
    <s v="L-L-1"/>
    <x v="3"/>
    <x v="1"/>
    <x v="0"/>
    <s v="Ingeberg Mulliner"/>
    <s v="Birmingham"/>
    <s v="United Kingdom"/>
    <x v="1"/>
    <x v="3"/>
    <n v="15.85"/>
    <x v="80"/>
  </r>
  <r>
    <s v="MXM-42948-061"/>
    <x v="106"/>
    <x v="110"/>
    <s v="L-L-0.2"/>
    <x v="3"/>
    <x v="1"/>
    <x v="2"/>
    <s v="Geneva Standley"/>
    <s v="Killorglin"/>
    <s v="Ireland"/>
    <x v="0"/>
    <x v="5"/>
    <n v="4.7549999999999999"/>
    <x v="81"/>
  </r>
  <r>
    <s v="MGQ-98961-173"/>
    <x v="19"/>
    <x v="111"/>
    <s v="L-L-0.5"/>
    <x v="3"/>
    <x v="1"/>
    <x v="1"/>
    <s v="Brook Drage"/>
    <s v="Dayton"/>
    <s v="United States"/>
    <x v="1"/>
    <x v="5"/>
    <n v="9.51"/>
    <x v="82"/>
  </r>
  <r>
    <s v="RFH-64349-897"/>
    <x v="107"/>
    <x v="112"/>
    <s v="E-D-0.5"/>
    <x v="1"/>
    <x v="2"/>
    <x v="1"/>
    <s v="Muffin Yallop"/>
    <s v="Anchorage"/>
    <s v="United States"/>
    <x v="0"/>
    <x v="4"/>
    <n v="7.29"/>
    <x v="10"/>
  </r>
  <r>
    <s v="TKL-20738-660"/>
    <x v="108"/>
    <x v="113"/>
    <s v="E-M-0.2"/>
    <x v="1"/>
    <x v="0"/>
    <x v="2"/>
    <s v="Cordi Switsur"/>
    <s v="Nashville"/>
    <s v="United States"/>
    <x v="1"/>
    <x v="3"/>
    <n v="4.125"/>
    <x v="83"/>
  </r>
  <r>
    <s v="TKL-20738-660"/>
    <x v="108"/>
    <x v="113"/>
    <s v="A-L-0.2"/>
    <x v="2"/>
    <x v="1"/>
    <x v="2"/>
    <s v="Cordi Switsur"/>
    <s v="Nashville"/>
    <s v="United States"/>
    <x v="1"/>
    <x v="3"/>
    <n v="3.8849999999999998"/>
    <x v="84"/>
  </r>
  <r>
    <s v="TKL-20738-660"/>
    <x v="108"/>
    <x v="113"/>
    <s v="E-M-1"/>
    <x v="1"/>
    <x v="0"/>
    <x v="0"/>
    <s v="Cordi Switsur"/>
    <s v="Nashville"/>
    <s v="United States"/>
    <x v="1"/>
    <x v="1"/>
    <n v="13.75"/>
    <x v="85"/>
  </r>
  <r>
    <s v="GOW-03198-575"/>
    <x v="109"/>
    <x v="114"/>
    <s v="A-D-0.5"/>
    <x v="2"/>
    <x v="2"/>
    <x v="1"/>
    <s v="Mahala Ludwell"/>
    <s v="Denver"/>
    <s v="United States"/>
    <x v="0"/>
    <x v="5"/>
    <n v="5.97"/>
    <x v="86"/>
  </r>
  <r>
    <s v="QJB-90477-635"/>
    <x v="110"/>
    <x v="115"/>
    <s v="L-L-2.5"/>
    <x v="3"/>
    <x v="1"/>
    <x v="3"/>
    <s v="Doll Beauchamp"/>
    <s v="Stamford"/>
    <s v="United States"/>
    <x v="1"/>
    <x v="5"/>
    <n v="36.454999999999998"/>
    <x v="43"/>
  </r>
  <r>
    <s v="MWP-46239-785"/>
    <x v="111"/>
    <x v="116"/>
    <s v="L-M-0.2"/>
    <x v="3"/>
    <x v="0"/>
    <x v="2"/>
    <s v="Stanford Rodliff"/>
    <s v="Newport News"/>
    <s v="United States"/>
    <x v="0"/>
    <x v="1"/>
    <n v="4.3650000000000002"/>
    <x v="30"/>
  </r>
  <r>
    <s v="QDV-03406-248"/>
    <x v="112"/>
    <x v="117"/>
    <s v="L-M-0.5"/>
    <x v="3"/>
    <x v="0"/>
    <x v="1"/>
    <s v="Stevana Woodham"/>
    <s v="Drumcondra"/>
    <s v="Ireland"/>
    <x v="0"/>
    <x v="4"/>
    <n v="8.73"/>
    <x v="50"/>
  </r>
  <r>
    <s v="GPH-40635-105"/>
    <x v="113"/>
    <x v="118"/>
    <s v="A-M-1"/>
    <x v="2"/>
    <x v="0"/>
    <x v="0"/>
    <s v="Hewet Synnot"/>
    <s v="Anchorage"/>
    <s v="United States"/>
    <x v="1"/>
    <x v="3"/>
    <n v="11.25"/>
    <x v="24"/>
  </r>
  <r>
    <s v="JOM-80930-071"/>
    <x v="114"/>
    <x v="119"/>
    <s v="L-D-1"/>
    <x v="3"/>
    <x v="2"/>
    <x v="0"/>
    <s v="Raleigh Lepere"/>
    <s v="Beaumont"/>
    <s v="Ireland"/>
    <x v="1"/>
    <x v="2"/>
    <n v="12.95"/>
    <x v="11"/>
  </r>
  <r>
    <s v="OIL-26493-755"/>
    <x v="115"/>
    <x v="120"/>
    <s v="A-M-0.5"/>
    <x v="2"/>
    <x v="0"/>
    <x v="1"/>
    <s v="Timofei Woofinden"/>
    <s v="Fargo"/>
    <s v="United States"/>
    <x v="1"/>
    <x v="3"/>
    <n v="6.75"/>
    <x v="52"/>
  </r>
  <r>
    <s v="CYV-13426-645"/>
    <x v="116"/>
    <x v="121"/>
    <s v="E-D-1"/>
    <x v="1"/>
    <x v="2"/>
    <x v="0"/>
    <s v="Evelina Dacca"/>
    <s v="Evansville"/>
    <s v="United States"/>
    <x v="0"/>
    <x v="3"/>
    <n v="12.15"/>
    <x v="87"/>
  </r>
  <r>
    <s v="WRP-39846-614"/>
    <x v="49"/>
    <x v="122"/>
    <s v="A-L-2.5"/>
    <x v="2"/>
    <x v="1"/>
    <x v="3"/>
    <s v="Bidget Tremellier"/>
    <s v="Cherryville"/>
    <s v="Ireland"/>
    <x v="0"/>
    <x v="1"/>
    <n v="29.785"/>
    <x v="74"/>
  </r>
  <r>
    <s v="VDZ-76673-968"/>
    <x v="117"/>
    <x v="123"/>
    <s v="E-D-0.5"/>
    <x v="1"/>
    <x v="2"/>
    <x v="1"/>
    <s v="Bobinette Hindsberg"/>
    <s v="Charlotte"/>
    <s v="United States"/>
    <x v="0"/>
    <x v="0"/>
    <n v="7.29"/>
    <x v="18"/>
  </r>
  <r>
    <s v="VTV-03546-175"/>
    <x v="118"/>
    <x v="124"/>
    <s v="A-L-2.5"/>
    <x v="2"/>
    <x v="1"/>
    <x v="3"/>
    <s v="Osbert Robins"/>
    <s v="Huntsville"/>
    <s v="United States"/>
    <x v="0"/>
    <x v="1"/>
    <n v="29.785"/>
    <x v="74"/>
  </r>
  <r>
    <s v="GHR-72274-715"/>
    <x v="119"/>
    <x v="125"/>
    <s v="L-D-1"/>
    <x v="3"/>
    <x v="2"/>
    <x v="0"/>
    <s v="Othello Syseland"/>
    <s v="Santa Ana"/>
    <s v="United States"/>
    <x v="1"/>
    <x v="3"/>
    <n v="12.95"/>
    <x v="4"/>
  </r>
  <r>
    <s v="ZGK-97262-313"/>
    <x v="120"/>
    <x v="126"/>
    <s v="E-M-2.5"/>
    <x v="1"/>
    <x v="0"/>
    <x v="3"/>
    <s v="Ewell Hanby"/>
    <s v="Washington"/>
    <s v="United States"/>
    <x v="0"/>
    <x v="4"/>
    <n v="31.625"/>
    <x v="88"/>
  </r>
  <r>
    <s v="QUU-91729-492"/>
    <x v="121"/>
    <x v="127"/>
    <s v="A-D-0.2"/>
    <x v="2"/>
    <x v="2"/>
    <x v="2"/>
    <s v="Lowell Keenleyside"/>
    <s v="Saint Louis"/>
    <s v="United States"/>
    <x v="1"/>
    <x v="5"/>
    <n v="2.9849999999999999"/>
    <x v="27"/>
  </r>
  <r>
    <s v="PVI-72795-960"/>
    <x v="122"/>
    <x v="128"/>
    <s v="E-L-2.5"/>
    <x v="1"/>
    <x v="1"/>
    <x v="3"/>
    <s v="Elonore Joliffe"/>
    <s v="Bailieborough"/>
    <s v="Ireland"/>
    <x v="1"/>
    <x v="4"/>
    <n v="34.155000000000001"/>
    <x v="89"/>
  </r>
  <r>
    <s v="PPP-78935-365"/>
    <x v="123"/>
    <x v="129"/>
    <s v="E-D-1"/>
    <x v="1"/>
    <x v="2"/>
    <x v="0"/>
    <s v="Abraham Coleman"/>
    <s v="Honolulu"/>
    <s v="United States"/>
    <x v="1"/>
    <x v="5"/>
    <n v="12.15"/>
    <x v="90"/>
  </r>
  <r>
    <s v="JUO-34131-517"/>
    <x v="124"/>
    <x v="130"/>
    <s v="L-D-1"/>
    <x v="3"/>
    <x v="2"/>
    <x v="0"/>
    <s v="Rivy Farington"/>
    <s v="Corona"/>
    <s v="United States"/>
    <x v="0"/>
    <x v="2"/>
    <n v="12.95"/>
    <x v="11"/>
  </r>
  <r>
    <s v="ZJE-89333-489"/>
    <x v="125"/>
    <x v="131"/>
    <s v="L-D-2.5"/>
    <x v="3"/>
    <x v="2"/>
    <x v="3"/>
    <s v="Vallie Kundt"/>
    <s v="Ballivor"/>
    <s v="Ireland"/>
    <x v="0"/>
    <x v="3"/>
    <n v="29.785"/>
    <x v="91"/>
  </r>
  <r>
    <s v="LOO-35324-159"/>
    <x v="126"/>
    <x v="132"/>
    <s v="A-L-0.2"/>
    <x v="2"/>
    <x v="1"/>
    <x v="2"/>
    <s v="Boyd Bett"/>
    <s v="Washington"/>
    <s v="United States"/>
    <x v="0"/>
    <x v="5"/>
    <n v="3.8849999999999998"/>
    <x v="42"/>
  </r>
  <r>
    <s v="JBQ-93412-846"/>
    <x v="127"/>
    <x v="133"/>
    <s v="E-L-2.5"/>
    <x v="1"/>
    <x v="1"/>
    <x v="3"/>
    <s v="Julio Armytage"/>
    <s v="Portumna"/>
    <s v="Ireland"/>
    <x v="0"/>
    <x v="5"/>
    <n v="34.155000000000001"/>
    <x v="56"/>
  </r>
  <r>
    <s v="EHX-66333-637"/>
    <x v="128"/>
    <x v="134"/>
    <s v="L-M-0.5"/>
    <x v="3"/>
    <x v="0"/>
    <x v="1"/>
    <s v="Deana Staite"/>
    <s v="Houston"/>
    <s v="United States"/>
    <x v="1"/>
    <x v="0"/>
    <n v="8.73"/>
    <x v="92"/>
  </r>
  <r>
    <s v="WXG-25759-236"/>
    <x v="104"/>
    <x v="135"/>
    <s v="E-L-2.5"/>
    <x v="1"/>
    <x v="1"/>
    <x v="3"/>
    <s v="Winn Keyse"/>
    <s v="Orange"/>
    <s v="United States"/>
    <x v="0"/>
    <x v="0"/>
    <n v="34.155000000000001"/>
    <x v="93"/>
  </r>
  <r>
    <s v="QNA-31113-984"/>
    <x v="129"/>
    <x v="136"/>
    <s v="L-M-0.2"/>
    <x v="3"/>
    <x v="0"/>
    <x v="2"/>
    <s v="Osmund Clausen-Thue"/>
    <s v="El Paso"/>
    <s v="United States"/>
    <x v="1"/>
    <x v="5"/>
    <n v="4.3650000000000002"/>
    <x v="92"/>
  </r>
  <r>
    <s v="ZWI-52029-159"/>
    <x v="130"/>
    <x v="137"/>
    <s v="L-M-1"/>
    <x v="3"/>
    <x v="0"/>
    <x v="0"/>
    <s v="Leonore Francisco"/>
    <s v="Carson City"/>
    <s v="United States"/>
    <x v="1"/>
    <x v="4"/>
    <n v="14.55"/>
    <x v="38"/>
  </r>
  <r>
    <s v="ZWI-52029-159"/>
    <x v="130"/>
    <x v="137"/>
    <s v="E-M-1"/>
    <x v="1"/>
    <x v="0"/>
    <x v="0"/>
    <s v="Leonore Francisco"/>
    <s v="Carson City"/>
    <s v="United States"/>
    <x v="1"/>
    <x v="0"/>
    <n v="13.75"/>
    <x v="6"/>
  </r>
  <r>
    <s v="DFS-49954-707"/>
    <x v="131"/>
    <x v="138"/>
    <s v="E-D-0.2"/>
    <x v="1"/>
    <x v="2"/>
    <x v="2"/>
    <s v="Giacobo Skingle"/>
    <s v="Provo"/>
    <s v="United States"/>
    <x v="0"/>
    <x v="1"/>
    <n v="3.645"/>
    <x v="94"/>
  </r>
  <r>
    <s v="VYP-89830-878"/>
    <x v="132"/>
    <x v="139"/>
    <s v="A-M-2.5"/>
    <x v="2"/>
    <x v="0"/>
    <x v="3"/>
    <s v="Gerard Pirdy"/>
    <s v="Boca Raton"/>
    <s v="United States"/>
    <x v="0"/>
    <x v="0"/>
    <n v="25.875"/>
    <x v="95"/>
  </r>
  <r>
    <s v="AMT-40418-362"/>
    <x v="133"/>
    <x v="140"/>
    <s v="L-D-1"/>
    <x v="3"/>
    <x v="2"/>
    <x v="0"/>
    <s v="Jacinthe Balsillie"/>
    <s v="Roanoke"/>
    <s v="United States"/>
    <x v="0"/>
    <x v="3"/>
    <n v="12.95"/>
    <x v="4"/>
  </r>
  <r>
    <s v="NFQ-23241-793"/>
    <x v="134"/>
    <x v="141"/>
    <s v="A-M-1"/>
    <x v="2"/>
    <x v="0"/>
    <x v="0"/>
    <s v="Quinton Fouracres"/>
    <s v="Des Moines"/>
    <s v="United States"/>
    <x v="0"/>
    <x v="4"/>
    <n v="11.25"/>
    <x v="65"/>
  </r>
  <r>
    <s v="JQK-64922-985"/>
    <x v="114"/>
    <x v="142"/>
    <s v="R-M-2.5"/>
    <x v="0"/>
    <x v="0"/>
    <x v="3"/>
    <s v="Bettina Leffek"/>
    <s v="Honolulu"/>
    <s v="United States"/>
    <x v="0"/>
    <x v="4"/>
    <n v="22.885000000000002"/>
    <x v="96"/>
  </r>
  <r>
    <s v="YET-17732-678"/>
    <x v="135"/>
    <x v="143"/>
    <s v="R-D-0.2"/>
    <x v="0"/>
    <x v="2"/>
    <x v="2"/>
    <s v="Hetti Penson"/>
    <s v="Fort Lauderdale"/>
    <s v="United States"/>
    <x v="1"/>
    <x v="3"/>
    <n v="2.6850000000000001"/>
    <x v="97"/>
  </r>
  <r>
    <s v="NKW-24945-846"/>
    <x v="38"/>
    <x v="144"/>
    <s v="A-D-2.5"/>
    <x v="2"/>
    <x v="2"/>
    <x v="3"/>
    <s v="Jocko Pray"/>
    <s v="Philadelphia"/>
    <s v="United States"/>
    <x v="1"/>
    <x v="1"/>
    <n v="22.885000000000002"/>
    <x v="23"/>
  </r>
  <r>
    <s v="VKA-82720-513"/>
    <x v="136"/>
    <x v="145"/>
    <s v="A-M-2.5"/>
    <x v="2"/>
    <x v="0"/>
    <x v="3"/>
    <s v="Grete Holborn"/>
    <s v="Norwalk"/>
    <s v="United States"/>
    <x v="0"/>
    <x v="2"/>
    <n v="25.875"/>
    <x v="71"/>
  </r>
  <r>
    <s v="THA-60599-417"/>
    <x v="137"/>
    <x v="146"/>
    <s v="A-M-2.5"/>
    <x v="2"/>
    <x v="0"/>
    <x v="3"/>
    <s v="Fielding Keinrat"/>
    <s v="Arlington"/>
    <s v="United States"/>
    <x v="0"/>
    <x v="4"/>
    <n v="25.875"/>
    <x v="57"/>
  </r>
  <r>
    <s v="MEK-39769-035"/>
    <x v="138"/>
    <x v="147"/>
    <s v="R-D-2.5"/>
    <x v="0"/>
    <x v="2"/>
    <x v="3"/>
    <s v="Paulo Yea"/>
    <s v="Ashford"/>
    <s v="Ireland"/>
    <x v="1"/>
    <x v="4"/>
    <n v="20.585000000000001"/>
    <x v="98"/>
  </r>
  <r>
    <s v="JAF-18294-750"/>
    <x v="139"/>
    <x v="148"/>
    <s v="R-D-2.5"/>
    <x v="0"/>
    <x v="2"/>
    <x v="3"/>
    <s v="Say Risborough"/>
    <s v="Chattanooga"/>
    <s v="United States"/>
    <x v="0"/>
    <x v="2"/>
    <n v="20.585000000000001"/>
    <x v="99"/>
  </r>
  <r>
    <s v="TME-59627-221"/>
    <x v="140"/>
    <x v="149"/>
    <s v="L-L-2.5"/>
    <x v="3"/>
    <x v="1"/>
    <x v="3"/>
    <s v="Alexa Sizey"/>
    <s v="Portland"/>
    <s v="United States"/>
    <x v="1"/>
    <x v="2"/>
    <n v="36.454999999999998"/>
    <x v="100"/>
  </r>
  <r>
    <s v="UDG-65353-824"/>
    <x v="141"/>
    <x v="150"/>
    <s v="E-M-0.5"/>
    <x v="1"/>
    <x v="0"/>
    <x v="1"/>
    <s v="Kari Swede"/>
    <s v="Oklahoma City"/>
    <s v="United States"/>
    <x v="1"/>
    <x v="5"/>
    <n v="8.25"/>
    <x v="101"/>
  </r>
  <r>
    <s v="ENQ-42923-176"/>
    <x v="142"/>
    <x v="151"/>
    <s v="A-L-0.5"/>
    <x v="2"/>
    <x v="1"/>
    <x v="1"/>
    <s v="Leontine Rubrow"/>
    <s v="Washington"/>
    <s v="United States"/>
    <x v="1"/>
    <x v="4"/>
    <n v="7.77"/>
    <x v="102"/>
  </r>
  <r>
    <s v="CBT-55781-720"/>
    <x v="143"/>
    <x v="152"/>
    <s v="E-D-0.5"/>
    <x v="1"/>
    <x v="2"/>
    <x v="1"/>
    <s v="Dottie Tift"/>
    <s v="Greensboro"/>
    <s v="United States"/>
    <x v="0"/>
    <x v="4"/>
    <n v="7.29"/>
    <x v="10"/>
  </r>
  <r>
    <s v="NEU-86533-016"/>
    <x v="144"/>
    <x v="153"/>
    <s v="R-D-0.2"/>
    <x v="0"/>
    <x v="2"/>
    <x v="2"/>
    <s v="Gerardo Schonfeld"/>
    <s v="Alexandria"/>
    <s v="United States"/>
    <x v="1"/>
    <x v="2"/>
    <n v="2.6850000000000001"/>
    <x v="103"/>
  </r>
  <r>
    <s v="BYU-58154-603"/>
    <x v="145"/>
    <x v="154"/>
    <s v="E-D-0.5"/>
    <x v="1"/>
    <x v="2"/>
    <x v="1"/>
    <s v="Claiborne Feye"/>
    <s v="Castlebridge"/>
    <s v="Ireland"/>
    <x v="1"/>
    <x v="5"/>
    <n v="7.29"/>
    <x v="104"/>
  </r>
  <r>
    <s v="EHJ-05910-257"/>
    <x v="146"/>
    <x v="155"/>
    <s v="R-D-1"/>
    <x v="0"/>
    <x v="2"/>
    <x v="0"/>
    <s v="Mina Elstone"/>
    <s v="Racine"/>
    <s v="United States"/>
    <x v="0"/>
    <x v="2"/>
    <n v="8.9499999999999993"/>
    <x v="59"/>
  </r>
  <r>
    <s v="EIL-44855-309"/>
    <x v="147"/>
    <x v="156"/>
    <s v="R-D-0.5"/>
    <x v="0"/>
    <x v="2"/>
    <x v="1"/>
    <s v="Sherman Mewrcik"/>
    <s v="Clearwater"/>
    <s v="United States"/>
    <x v="0"/>
    <x v="1"/>
    <n v="5.37"/>
    <x v="51"/>
  </r>
  <r>
    <s v="HCA-87224-420"/>
    <x v="148"/>
    <x v="157"/>
    <s v="E-M-0.5"/>
    <x v="1"/>
    <x v="0"/>
    <x v="1"/>
    <s v="Tamarah Fero"/>
    <s v="Racine"/>
    <s v="United States"/>
    <x v="0"/>
    <x v="1"/>
    <n v="8.25"/>
    <x v="1"/>
  </r>
  <r>
    <s v="ABO-29054-365"/>
    <x v="149"/>
    <x v="158"/>
    <s v="A-M-0.5"/>
    <x v="2"/>
    <x v="0"/>
    <x v="1"/>
    <s v="Stanislaus Valsler"/>
    <s v="Castlebridge"/>
    <s v="Ireland"/>
    <x v="1"/>
    <x v="2"/>
    <n v="6.75"/>
    <x v="61"/>
  </r>
  <r>
    <s v="TKN-58485-031"/>
    <x v="150"/>
    <x v="159"/>
    <s v="R-D-1"/>
    <x v="0"/>
    <x v="2"/>
    <x v="0"/>
    <s v="Felita Dauney"/>
    <s v="Castlebellingham"/>
    <s v="Ireland"/>
    <x v="1"/>
    <x v="0"/>
    <n v="8.9499999999999993"/>
    <x v="105"/>
  </r>
  <r>
    <s v="RCK-04069-371"/>
    <x v="151"/>
    <x v="160"/>
    <s v="E-L-2.5"/>
    <x v="1"/>
    <x v="1"/>
    <x v="3"/>
    <s v="Serena Earley"/>
    <s v="Craigavon"/>
    <s v="United Kingdom"/>
    <x v="1"/>
    <x v="0"/>
    <n v="34.155000000000001"/>
    <x v="93"/>
  </r>
  <r>
    <s v="IRJ-67095-738"/>
    <x v="12"/>
    <x v="161"/>
    <s v="E-M-2.5"/>
    <x v="1"/>
    <x v="0"/>
    <x v="3"/>
    <s v="Minny Chamberlayne"/>
    <s v="Tampa"/>
    <s v="United States"/>
    <x v="0"/>
    <x v="0"/>
    <n v="31.625"/>
    <x v="41"/>
  </r>
  <r>
    <s v="VEA-31961-977"/>
    <x v="80"/>
    <x v="162"/>
    <s v="E-D-0.5"/>
    <x v="1"/>
    <x v="2"/>
    <x v="1"/>
    <s v="Bartholemy Flaherty"/>
    <s v="Eadestown"/>
    <s v="Ireland"/>
    <x v="1"/>
    <x v="4"/>
    <n v="7.29"/>
    <x v="10"/>
  </r>
  <r>
    <s v="BAF-42286-205"/>
    <x v="152"/>
    <x v="163"/>
    <s v="R-M-2.5"/>
    <x v="0"/>
    <x v="0"/>
    <x v="3"/>
    <s v="Oran Colbeck"/>
    <s v="Montgomery"/>
    <s v="United States"/>
    <x v="1"/>
    <x v="5"/>
    <n v="22.885000000000002"/>
    <x v="28"/>
  </r>
  <r>
    <s v="WOR-52762-511"/>
    <x v="153"/>
    <x v="164"/>
    <s v="E-L-2.5"/>
    <x v="1"/>
    <x v="1"/>
    <x v="3"/>
    <s v="Elysee Sketch"/>
    <s v="Sparks"/>
    <s v="United States"/>
    <x v="0"/>
    <x v="2"/>
    <n v="34.155000000000001"/>
    <x v="106"/>
  </r>
  <r>
    <s v="ZWK-03995-815"/>
    <x v="154"/>
    <x v="165"/>
    <s v="E-M-2.5"/>
    <x v="1"/>
    <x v="0"/>
    <x v="3"/>
    <s v="Ethelda Hobbing"/>
    <s v="Macon"/>
    <s v="United States"/>
    <x v="0"/>
    <x v="0"/>
    <n v="31.625"/>
    <x v="41"/>
  </r>
  <r>
    <s v="CKF-43291-846"/>
    <x v="155"/>
    <x v="166"/>
    <s v="E-L-2.5"/>
    <x v="1"/>
    <x v="1"/>
    <x v="3"/>
    <s v="Odille Thynne"/>
    <s v="Whittier"/>
    <s v="United States"/>
    <x v="0"/>
    <x v="3"/>
    <n v="34.155000000000001"/>
    <x v="107"/>
  </r>
  <r>
    <s v="RMW-74160-339"/>
    <x v="156"/>
    <x v="167"/>
    <s v="R-L-2.5"/>
    <x v="0"/>
    <x v="1"/>
    <x v="3"/>
    <s v="Emlynne Heining"/>
    <s v="Johnson City"/>
    <s v="United States"/>
    <x v="0"/>
    <x v="5"/>
    <n v="27.484999999999999"/>
    <x v="108"/>
  </r>
  <r>
    <s v="FMT-94584-786"/>
    <x v="16"/>
    <x v="168"/>
    <s v="A-L-1"/>
    <x v="2"/>
    <x v="1"/>
    <x v="0"/>
    <s v="Katerina Melloi"/>
    <s v="Rochester"/>
    <s v="United States"/>
    <x v="1"/>
    <x v="0"/>
    <n v="12.95"/>
    <x v="109"/>
  </r>
  <r>
    <s v="NWT-78222-575"/>
    <x v="157"/>
    <x v="169"/>
    <s v="A-D-0.2"/>
    <x v="2"/>
    <x v="2"/>
    <x v="2"/>
    <s v="Tiffany Scardafield"/>
    <s v="Portarlington"/>
    <s v="Ireland"/>
    <x v="1"/>
    <x v="3"/>
    <n v="2.9849999999999999"/>
    <x v="55"/>
  </r>
  <r>
    <s v="EOI-02511-919"/>
    <x v="158"/>
    <x v="170"/>
    <s v="E-L-0.2"/>
    <x v="1"/>
    <x v="1"/>
    <x v="2"/>
    <s v="Abrahan Mussen"/>
    <s v="Brooklyn"/>
    <s v="United States"/>
    <x v="1"/>
    <x v="1"/>
    <n v="4.4550000000000001"/>
    <x v="110"/>
  </r>
  <r>
    <s v="EOI-02511-919"/>
    <x v="158"/>
    <x v="170"/>
    <s v="A-D-0.5"/>
    <x v="2"/>
    <x v="2"/>
    <x v="1"/>
    <s v="Abrahan Mussen"/>
    <s v="Brooklyn"/>
    <s v="United States"/>
    <x v="1"/>
    <x v="1"/>
    <n v="5.97"/>
    <x v="44"/>
  </r>
  <r>
    <s v="UCT-03935-589"/>
    <x v="79"/>
    <x v="171"/>
    <s v="R-D-0.5"/>
    <x v="0"/>
    <x v="2"/>
    <x v="1"/>
    <s v="Anny Mundford"/>
    <s v="Charlottesville"/>
    <s v="United States"/>
    <x v="1"/>
    <x v="2"/>
    <n v="5.37"/>
    <x v="111"/>
  </r>
  <r>
    <s v="SBI-60013-494"/>
    <x v="159"/>
    <x v="172"/>
    <s v="E-M-0.2"/>
    <x v="1"/>
    <x v="0"/>
    <x v="2"/>
    <s v="Tory Walas"/>
    <s v="Garland"/>
    <s v="United States"/>
    <x v="1"/>
    <x v="0"/>
    <n v="4.125"/>
    <x v="112"/>
  </r>
  <r>
    <s v="QRA-73277-814"/>
    <x v="160"/>
    <x v="173"/>
    <s v="A-L-0.5"/>
    <x v="2"/>
    <x v="1"/>
    <x v="1"/>
    <s v="Isa Blazewicz"/>
    <s v="Minneapolis"/>
    <s v="United States"/>
    <x v="1"/>
    <x v="5"/>
    <n v="7.77"/>
    <x v="113"/>
  </r>
  <r>
    <s v="EQE-31648-909"/>
    <x v="161"/>
    <x v="174"/>
    <s v="E-D-0.5"/>
    <x v="1"/>
    <x v="2"/>
    <x v="1"/>
    <s v="Angie Rizzetti"/>
    <s v="Lansing"/>
    <s v="United States"/>
    <x v="0"/>
    <x v="1"/>
    <n v="7.29"/>
    <x v="114"/>
  </r>
  <r>
    <s v="QOO-24615-950"/>
    <x v="162"/>
    <x v="175"/>
    <s v="R-M-2.5"/>
    <x v="0"/>
    <x v="0"/>
    <x v="3"/>
    <s v="Mord Meriet"/>
    <s v="Grand Forks"/>
    <s v="United States"/>
    <x v="1"/>
    <x v="4"/>
    <n v="22.885000000000002"/>
    <x v="96"/>
  </r>
  <r>
    <s v="WDV-73864-037"/>
    <x v="70"/>
    <x v="176"/>
    <s v="L-M-0.5"/>
    <x v="3"/>
    <x v="0"/>
    <x v="1"/>
    <s v="Lawrence Pratt"/>
    <s v="Anchorage"/>
    <s v="United States"/>
    <x v="0"/>
    <x v="1"/>
    <n v="8.73"/>
    <x v="38"/>
  </r>
  <r>
    <s v="PKR-88575-066"/>
    <x v="163"/>
    <x v="177"/>
    <s v="E-L-0.2"/>
    <x v="1"/>
    <x v="1"/>
    <x v="2"/>
    <s v="Astrix Kitchingham"/>
    <s v="Oklahoma City"/>
    <s v="United States"/>
    <x v="0"/>
    <x v="3"/>
    <n v="4.4550000000000001"/>
    <x v="115"/>
  </r>
  <r>
    <s v="BWR-85735-955"/>
    <x v="153"/>
    <x v="178"/>
    <s v="L-M-1"/>
    <x v="3"/>
    <x v="0"/>
    <x v="0"/>
    <s v="Burnard Bartholin"/>
    <s v="Tulsa"/>
    <s v="United States"/>
    <x v="0"/>
    <x v="4"/>
    <n v="14.55"/>
    <x v="38"/>
  </r>
  <r>
    <s v="YFX-64795-136"/>
    <x v="164"/>
    <x v="179"/>
    <s v="L-M-2.5"/>
    <x v="3"/>
    <x v="0"/>
    <x v="3"/>
    <s v="Madelene Prinn"/>
    <s v="Detroit"/>
    <s v="United States"/>
    <x v="0"/>
    <x v="3"/>
    <n v="33.465000000000003"/>
    <x v="116"/>
  </r>
  <r>
    <s v="DDO-71442-967"/>
    <x v="165"/>
    <x v="180"/>
    <s v="L-D-0.2"/>
    <x v="3"/>
    <x v="2"/>
    <x v="2"/>
    <s v="Alisun Baudino"/>
    <s v="Washington"/>
    <s v="United States"/>
    <x v="0"/>
    <x v="1"/>
    <n v="3.8849999999999998"/>
    <x v="117"/>
  </r>
  <r>
    <s v="ILQ-11027-588"/>
    <x v="166"/>
    <x v="181"/>
    <s v="E-D-1"/>
    <x v="1"/>
    <x v="2"/>
    <x v="0"/>
    <s v="Philipa Petrushanko"/>
    <s v="Nenagh"/>
    <s v="Ireland"/>
    <x v="0"/>
    <x v="2"/>
    <n v="12.15"/>
    <x v="118"/>
  </r>
  <r>
    <s v="KRZ-13868-122"/>
    <x v="167"/>
    <x v="182"/>
    <s v="E-L-1"/>
    <x v="1"/>
    <x v="1"/>
    <x v="0"/>
    <s v="Kimberli Mustchin"/>
    <s v="Mesa"/>
    <s v="United States"/>
    <x v="1"/>
    <x v="4"/>
    <n v="14.85"/>
    <x v="69"/>
  </r>
  <r>
    <s v="VRM-93594-914"/>
    <x v="168"/>
    <x v="183"/>
    <s v="E-D-0.5"/>
    <x v="1"/>
    <x v="2"/>
    <x v="1"/>
    <s v="Emlynne Laird"/>
    <s v="Warren"/>
    <s v="United States"/>
    <x v="1"/>
    <x v="1"/>
    <n v="7.29"/>
    <x v="114"/>
  </r>
  <r>
    <s v="HXL-22497-359"/>
    <x v="169"/>
    <x v="184"/>
    <s v="A-L-1"/>
    <x v="2"/>
    <x v="1"/>
    <x v="0"/>
    <s v="Marlena Howsden"/>
    <s v="Memphis"/>
    <s v="United States"/>
    <x v="1"/>
    <x v="4"/>
    <n v="12.95"/>
    <x v="9"/>
  </r>
  <r>
    <s v="NOP-21394-646"/>
    <x v="170"/>
    <x v="185"/>
    <s v="E-L-0.5"/>
    <x v="1"/>
    <x v="1"/>
    <x v="1"/>
    <s v="Nealson Cuttler"/>
    <s v="Washington"/>
    <s v="United States"/>
    <x v="1"/>
    <x v="2"/>
    <n v="8.91"/>
    <x v="119"/>
  </r>
  <r>
    <s v="NOP-21394-646"/>
    <x v="170"/>
    <x v="185"/>
    <s v="L-D-2.5"/>
    <x v="3"/>
    <x v="2"/>
    <x v="3"/>
    <s v="Nealson Cuttler"/>
    <s v="Washington"/>
    <s v="United States"/>
    <x v="1"/>
    <x v="0"/>
    <n v="29.785"/>
    <x v="120"/>
  </r>
  <r>
    <s v="NOP-21394-646"/>
    <x v="170"/>
    <x v="185"/>
    <s v="L-D-2.5"/>
    <x v="3"/>
    <x v="2"/>
    <x v="3"/>
    <s v="Nealson Cuttler"/>
    <s v="Washington"/>
    <s v="United States"/>
    <x v="1"/>
    <x v="4"/>
    <n v="29.785"/>
    <x v="49"/>
  </r>
  <r>
    <s v="NOP-21394-646"/>
    <x v="170"/>
    <x v="185"/>
    <s v="L-L-0.5"/>
    <x v="3"/>
    <x v="1"/>
    <x v="1"/>
    <s v="Nealson Cuttler"/>
    <s v="Washington"/>
    <s v="United States"/>
    <x v="1"/>
    <x v="5"/>
    <n v="9.51"/>
    <x v="82"/>
  </r>
  <r>
    <s v="NOP-21394-646"/>
    <x v="170"/>
    <x v="185"/>
    <s v="E-M-1"/>
    <x v="1"/>
    <x v="0"/>
    <x v="0"/>
    <s v="Nealson Cuttler"/>
    <s v="Washington"/>
    <s v="United States"/>
    <x v="1"/>
    <x v="4"/>
    <n v="13.75"/>
    <x v="1"/>
  </r>
  <r>
    <s v="FTV-77095-168"/>
    <x v="171"/>
    <x v="186"/>
    <s v="L-L-0.5"/>
    <x v="3"/>
    <x v="1"/>
    <x v="1"/>
    <s v="Adriana Lazarus"/>
    <s v="Ogden"/>
    <s v="United States"/>
    <x v="1"/>
    <x v="2"/>
    <n v="9.51"/>
    <x v="33"/>
  </r>
  <r>
    <s v="BOR-02906-411"/>
    <x v="172"/>
    <x v="187"/>
    <s v="L-D-2.5"/>
    <x v="3"/>
    <x v="2"/>
    <x v="3"/>
    <s v="Tallie felip"/>
    <s v="Albany"/>
    <s v="United States"/>
    <x v="0"/>
    <x v="2"/>
    <n v="29.785"/>
    <x v="40"/>
  </r>
  <r>
    <s v="WMP-68847-770"/>
    <x v="173"/>
    <x v="188"/>
    <s v="L-L-0.2"/>
    <x v="3"/>
    <x v="1"/>
    <x v="2"/>
    <s v="Vanna Le - Count"/>
    <s v="Spartanburg"/>
    <s v="United States"/>
    <x v="1"/>
    <x v="3"/>
    <n v="4.7549999999999999"/>
    <x v="12"/>
  </r>
  <r>
    <s v="TMO-22785-872"/>
    <x v="174"/>
    <x v="189"/>
    <s v="E-M-1"/>
    <x v="1"/>
    <x v="0"/>
    <x v="0"/>
    <s v="Sarette Ducarel"/>
    <s v="Staten Island"/>
    <s v="United States"/>
    <x v="1"/>
    <x v="2"/>
    <n v="13.75"/>
    <x v="121"/>
  </r>
  <r>
    <s v="TJG-73587-353"/>
    <x v="175"/>
    <x v="190"/>
    <s v="R-D-0.2"/>
    <x v="0"/>
    <x v="2"/>
    <x v="2"/>
    <s v="Kendra Glison"/>
    <s v="Washington"/>
    <s v="United States"/>
    <x v="0"/>
    <x v="4"/>
    <n v="2.6850000000000001"/>
    <x v="37"/>
  </r>
  <r>
    <s v="OOU-61343-455"/>
    <x v="176"/>
    <x v="191"/>
    <s v="A-M-1"/>
    <x v="2"/>
    <x v="0"/>
    <x v="0"/>
    <s v="Nertie Poolman"/>
    <s v="Charlotte"/>
    <s v="United States"/>
    <x v="1"/>
    <x v="0"/>
    <n v="11.25"/>
    <x v="122"/>
  </r>
  <r>
    <s v="RMA-08327-369"/>
    <x v="142"/>
    <x v="192"/>
    <s v="A-M-0.5"/>
    <x v="2"/>
    <x v="0"/>
    <x v="1"/>
    <s v="Orbadiah Duny"/>
    <s v="Lubbock"/>
    <s v="United States"/>
    <x v="0"/>
    <x v="2"/>
    <n v="6.75"/>
    <x v="61"/>
  </r>
  <r>
    <s v="SFB-97929-779"/>
    <x v="177"/>
    <x v="193"/>
    <s v="E-D-0.5"/>
    <x v="1"/>
    <x v="2"/>
    <x v="1"/>
    <s v="Constance Halfhide"/>
    <s v="Fermoy"/>
    <s v="Ireland"/>
    <x v="0"/>
    <x v="5"/>
    <n v="7.29"/>
    <x v="104"/>
  </r>
  <r>
    <s v="AUP-10128-606"/>
    <x v="178"/>
    <x v="194"/>
    <s v="A-M-0.5"/>
    <x v="2"/>
    <x v="0"/>
    <x v="1"/>
    <s v="Fransisco Malecky"/>
    <s v="Whitwell"/>
    <s v="United Kingdom"/>
    <x v="1"/>
    <x v="3"/>
    <n v="6.75"/>
    <x v="52"/>
  </r>
  <r>
    <s v="YTW-40242-005"/>
    <x v="179"/>
    <x v="195"/>
    <s v="L-D-1"/>
    <x v="3"/>
    <x v="2"/>
    <x v="0"/>
    <s v="Anselma Attwater"/>
    <s v="Charlottesville"/>
    <s v="United States"/>
    <x v="0"/>
    <x v="5"/>
    <n v="12.95"/>
    <x v="67"/>
  </r>
  <r>
    <s v="QTR-19001-114"/>
    <x v="180"/>
    <x v="195"/>
    <s v="A-D-1"/>
    <x v="2"/>
    <x v="2"/>
    <x v="0"/>
    <s v="Anselma Attwater"/>
    <s v="Charlottesville"/>
    <s v="United States"/>
    <x v="0"/>
    <x v="0"/>
    <n v="9.9499999999999993"/>
    <x v="0"/>
  </r>
  <r>
    <s v="PRP-53390-819"/>
    <x v="181"/>
    <x v="196"/>
    <s v="E-L-0.5"/>
    <x v="1"/>
    <x v="1"/>
    <x v="1"/>
    <s v="Minette Whellans"/>
    <s v="New York City"/>
    <s v="United States"/>
    <x v="1"/>
    <x v="2"/>
    <n v="8.91"/>
    <x v="119"/>
  </r>
  <r>
    <s v="GSJ-01065-125"/>
    <x v="182"/>
    <x v="197"/>
    <s v="E-D-0.2"/>
    <x v="1"/>
    <x v="2"/>
    <x v="2"/>
    <s v="Dael Camilletti"/>
    <s v="Roanoke"/>
    <s v="United States"/>
    <x v="0"/>
    <x v="5"/>
    <n v="3.645"/>
    <x v="18"/>
  </r>
  <r>
    <s v="YQU-65147-580"/>
    <x v="183"/>
    <x v="198"/>
    <s v="R-D-2.5"/>
    <x v="0"/>
    <x v="2"/>
    <x v="3"/>
    <s v="Emiline Galgey"/>
    <s v="New York City"/>
    <s v="United States"/>
    <x v="1"/>
    <x v="3"/>
    <n v="20.585000000000001"/>
    <x v="123"/>
  </r>
  <r>
    <s v="QPM-95832-683"/>
    <x v="184"/>
    <x v="199"/>
    <s v="L-L-1"/>
    <x v="3"/>
    <x v="1"/>
    <x v="0"/>
    <s v="Murdock Hame"/>
    <s v="Balally"/>
    <s v="Ireland"/>
    <x v="1"/>
    <x v="0"/>
    <n v="15.85"/>
    <x v="124"/>
  </r>
  <r>
    <s v="BNQ-88920-567"/>
    <x v="185"/>
    <x v="200"/>
    <s v="L-D-0.2"/>
    <x v="3"/>
    <x v="2"/>
    <x v="2"/>
    <s v="Ilka Gurnee"/>
    <s v="Salt Lake City"/>
    <s v="United States"/>
    <x v="1"/>
    <x v="2"/>
    <n v="3.8849999999999998"/>
    <x v="102"/>
  </r>
  <r>
    <s v="PUX-47906-110"/>
    <x v="186"/>
    <x v="201"/>
    <s v="L-M-1"/>
    <x v="3"/>
    <x v="0"/>
    <x v="0"/>
    <s v="Alfy Snowding"/>
    <s v="Toledo"/>
    <s v="United States"/>
    <x v="0"/>
    <x v="5"/>
    <n v="14.55"/>
    <x v="125"/>
  </r>
  <r>
    <s v="COL-72079-610"/>
    <x v="187"/>
    <x v="202"/>
    <s v="E-L-0.5"/>
    <x v="1"/>
    <x v="1"/>
    <x v="1"/>
    <s v="Godfry Poinsett"/>
    <s v="Pasadena"/>
    <s v="United States"/>
    <x v="1"/>
    <x v="5"/>
    <n v="8.91"/>
    <x v="70"/>
  </r>
  <r>
    <s v="LBC-45686-819"/>
    <x v="188"/>
    <x v="203"/>
    <s v="A-M-1"/>
    <x v="2"/>
    <x v="0"/>
    <x v="0"/>
    <s v="Rem Furman"/>
    <s v="Kinsale"/>
    <s v="Ireland"/>
    <x v="0"/>
    <x v="1"/>
    <n v="11.25"/>
    <x v="126"/>
  </r>
  <r>
    <s v="BLQ-03709-265"/>
    <x v="148"/>
    <x v="204"/>
    <s v="R-L-0.2"/>
    <x v="0"/>
    <x v="1"/>
    <x v="2"/>
    <s v="Charis Crosier"/>
    <s v="Lees Summit"/>
    <s v="United States"/>
    <x v="1"/>
    <x v="4"/>
    <n v="3.585"/>
    <x v="127"/>
  </r>
  <r>
    <s v="BLQ-03709-265"/>
    <x v="148"/>
    <x v="204"/>
    <s v="R-M-0.2"/>
    <x v="0"/>
    <x v="0"/>
    <x v="2"/>
    <s v="Charis Crosier"/>
    <s v="Lees Summit"/>
    <s v="United States"/>
    <x v="1"/>
    <x v="1"/>
    <n v="2.9849999999999999"/>
    <x v="128"/>
  </r>
  <r>
    <s v="VFZ-91673-181"/>
    <x v="189"/>
    <x v="205"/>
    <s v="A-L-1"/>
    <x v="2"/>
    <x v="1"/>
    <x v="0"/>
    <s v="Lenka Rushmer"/>
    <s v="Irvine"/>
    <s v="United States"/>
    <x v="0"/>
    <x v="2"/>
    <n v="12.95"/>
    <x v="11"/>
  </r>
  <r>
    <s v="WKD-81956-870"/>
    <x v="190"/>
    <x v="206"/>
    <s v="L-D-0.5"/>
    <x v="3"/>
    <x v="2"/>
    <x v="1"/>
    <s v="Waneta Edinborough"/>
    <s v="Hicksville"/>
    <s v="United States"/>
    <x v="1"/>
    <x v="4"/>
    <n v="7.77"/>
    <x v="102"/>
  </r>
  <r>
    <s v="TNI-91067-006"/>
    <x v="191"/>
    <x v="207"/>
    <s v="E-L-1"/>
    <x v="1"/>
    <x v="1"/>
    <x v="0"/>
    <s v="Bobbe Piggott"/>
    <s v="Washington"/>
    <s v="United States"/>
    <x v="0"/>
    <x v="5"/>
    <n v="14.85"/>
    <x v="48"/>
  </r>
  <r>
    <s v="IZA-61469-812"/>
    <x v="192"/>
    <x v="208"/>
    <s v="L-D-2.5"/>
    <x v="3"/>
    <x v="2"/>
    <x v="3"/>
    <s v="Ketty Bromehead"/>
    <s v="New York City"/>
    <s v="United States"/>
    <x v="0"/>
    <x v="5"/>
    <n v="29.785"/>
    <x v="129"/>
  </r>
  <r>
    <s v="PSS-22466-862"/>
    <x v="193"/>
    <x v="209"/>
    <s v="R-L-0.2"/>
    <x v="0"/>
    <x v="1"/>
    <x v="2"/>
    <s v="Elsbeth Westerman"/>
    <s v="Newmarket on Fergus"/>
    <s v="Ireland"/>
    <x v="1"/>
    <x v="5"/>
    <n v="3.585"/>
    <x v="79"/>
  </r>
  <r>
    <s v="REH-56504-397"/>
    <x v="194"/>
    <x v="210"/>
    <s v="A-M-2.5"/>
    <x v="2"/>
    <x v="0"/>
    <x v="3"/>
    <s v="Anabelle Hutchens"/>
    <s v="Shawnee Mission"/>
    <s v="United States"/>
    <x v="1"/>
    <x v="1"/>
    <n v="25.875"/>
    <x v="130"/>
  </r>
  <r>
    <s v="ALA-62598-016"/>
    <x v="195"/>
    <x v="211"/>
    <s v="R-D-0.2"/>
    <x v="0"/>
    <x v="2"/>
    <x v="2"/>
    <s v="Noak Wyvill"/>
    <s v="Edinburgh"/>
    <s v="United Kingdom"/>
    <x v="0"/>
    <x v="2"/>
    <n v="2.6850000000000001"/>
    <x v="103"/>
  </r>
  <r>
    <s v="EYE-70374-835"/>
    <x v="196"/>
    <x v="212"/>
    <s v="R-L-0.2"/>
    <x v="0"/>
    <x v="1"/>
    <x v="2"/>
    <s v="Beltran Mathon"/>
    <s v="Sacramento"/>
    <s v="United States"/>
    <x v="1"/>
    <x v="1"/>
    <n v="3.585"/>
    <x v="131"/>
  </r>
  <r>
    <s v="CCZ-19589-212"/>
    <x v="197"/>
    <x v="213"/>
    <s v="L-M-0.2"/>
    <x v="3"/>
    <x v="0"/>
    <x v="2"/>
    <s v="Kristos Streight"/>
    <s v="Wilkes Barre"/>
    <s v="United States"/>
    <x v="1"/>
    <x v="0"/>
    <n v="4.3650000000000002"/>
    <x v="34"/>
  </r>
  <r>
    <s v="BPT-83989-157"/>
    <x v="198"/>
    <x v="214"/>
    <s v="A-M-2.5"/>
    <x v="2"/>
    <x v="0"/>
    <x v="3"/>
    <s v="Portie Cutchie"/>
    <s v="Greensboro"/>
    <s v="United States"/>
    <x v="1"/>
    <x v="0"/>
    <n v="25.875"/>
    <x v="95"/>
  </r>
  <r>
    <s v="YFH-87456-208"/>
    <x v="199"/>
    <x v="215"/>
    <s v="L-M-0.2"/>
    <x v="3"/>
    <x v="0"/>
    <x v="2"/>
    <s v="Sinclare Edsell"/>
    <s v="Newark"/>
    <s v="United States"/>
    <x v="0"/>
    <x v="0"/>
    <n v="4.3650000000000002"/>
    <x v="34"/>
  </r>
  <r>
    <s v="JLN-14700-924"/>
    <x v="200"/>
    <x v="216"/>
    <s v="L-L-0.2"/>
    <x v="3"/>
    <x v="1"/>
    <x v="2"/>
    <s v="Conny Gheraldi"/>
    <s v="Kinloch"/>
    <s v="United Kingdom"/>
    <x v="1"/>
    <x v="1"/>
    <n v="4.7549999999999999"/>
    <x v="25"/>
  </r>
  <r>
    <s v="JVW-22582-137"/>
    <x v="201"/>
    <x v="217"/>
    <s v="E-M-0.2"/>
    <x v="1"/>
    <x v="0"/>
    <x v="2"/>
    <s v="Beryle Kenwell"/>
    <s v="Honolulu"/>
    <s v="United States"/>
    <x v="1"/>
    <x v="1"/>
    <n v="4.125"/>
    <x v="132"/>
  </r>
  <r>
    <s v="LAA-41879-001"/>
    <x v="202"/>
    <x v="218"/>
    <s v="L-L-2.5"/>
    <x v="3"/>
    <x v="1"/>
    <x v="3"/>
    <s v="Tomas Sutty"/>
    <s v="New York City"/>
    <s v="United States"/>
    <x v="1"/>
    <x v="3"/>
    <n v="36.454999999999998"/>
    <x v="133"/>
  </r>
  <r>
    <s v="BRV-64870-915"/>
    <x v="203"/>
    <x v="219"/>
    <s v="L-L-2.5"/>
    <x v="3"/>
    <x v="1"/>
    <x v="3"/>
    <s v="Samuele Ales0"/>
    <s v="Ballinroad"/>
    <s v="Ireland"/>
    <x v="1"/>
    <x v="1"/>
    <n v="36.454999999999998"/>
    <x v="134"/>
  </r>
  <r>
    <s v="RGJ-12544-083"/>
    <x v="204"/>
    <x v="220"/>
    <s v="L-D-2.5"/>
    <x v="3"/>
    <x v="2"/>
    <x v="3"/>
    <s v="Carlie Harce"/>
    <s v="D煤n Laoghaire"/>
    <s v="Ireland"/>
    <x v="1"/>
    <x v="4"/>
    <n v="29.785"/>
    <x v="49"/>
  </r>
  <r>
    <s v="JJX-83339-346"/>
    <x v="205"/>
    <x v="221"/>
    <s v="R-L-0.2"/>
    <x v="0"/>
    <x v="1"/>
    <x v="2"/>
    <s v="Craggy Bril"/>
    <s v="Cincinnati"/>
    <s v="United States"/>
    <x v="0"/>
    <x v="3"/>
    <n v="3.585"/>
    <x v="60"/>
  </r>
  <r>
    <s v="BIU-21970-705"/>
    <x v="206"/>
    <x v="222"/>
    <s v="R-M-2.5"/>
    <x v="0"/>
    <x v="0"/>
    <x v="3"/>
    <s v="Friederike Drysdale"/>
    <s v="Midland"/>
    <s v="United States"/>
    <x v="0"/>
    <x v="0"/>
    <n v="22.885000000000002"/>
    <x v="135"/>
  </r>
  <r>
    <s v="ELJ-87741-745"/>
    <x v="207"/>
    <x v="223"/>
    <s v="E-L-1"/>
    <x v="1"/>
    <x v="1"/>
    <x v="0"/>
    <s v="Devon Magowan"/>
    <s v="Cheyenne"/>
    <s v="United States"/>
    <x v="1"/>
    <x v="5"/>
    <n v="14.85"/>
    <x v="48"/>
  </r>
  <r>
    <s v="SGI-48226-857"/>
    <x v="208"/>
    <x v="224"/>
    <s v="A-M-2.5"/>
    <x v="2"/>
    <x v="0"/>
    <x v="3"/>
    <s v="Codi Littrell"/>
    <s v="Atlanta"/>
    <s v="United States"/>
    <x v="0"/>
    <x v="2"/>
    <n v="25.875"/>
    <x v="71"/>
  </r>
  <r>
    <s v="AHV-66988-037"/>
    <x v="209"/>
    <x v="225"/>
    <s v="R-M-2.5"/>
    <x v="0"/>
    <x v="0"/>
    <x v="3"/>
    <s v="Christel Speak"/>
    <s v="Duluth"/>
    <s v="United States"/>
    <x v="1"/>
    <x v="0"/>
    <n v="22.885000000000002"/>
    <x v="135"/>
  </r>
  <r>
    <s v="ISK-42066-094"/>
    <x v="210"/>
    <x v="226"/>
    <s v="E-D-1"/>
    <x v="1"/>
    <x v="2"/>
    <x v="0"/>
    <s v="Sibella Rushbrooke"/>
    <s v="Sacramento"/>
    <s v="United States"/>
    <x v="0"/>
    <x v="4"/>
    <n v="12.15"/>
    <x v="114"/>
  </r>
  <r>
    <s v="FTC-35822-530"/>
    <x v="211"/>
    <x v="227"/>
    <s v="E-D-0.5"/>
    <x v="1"/>
    <x v="2"/>
    <x v="1"/>
    <s v="Tammie Drynan"/>
    <s v="Tampa"/>
    <s v="United States"/>
    <x v="0"/>
    <x v="5"/>
    <n v="7.29"/>
    <x v="104"/>
  </r>
  <r>
    <s v="VSS-56247-688"/>
    <x v="212"/>
    <x v="228"/>
    <s v="L-M-2.5"/>
    <x v="3"/>
    <x v="0"/>
    <x v="3"/>
    <s v="Effie Yurkov"/>
    <s v="Honolulu"/>
    <s v="United States"/>
    <x v="1"/>
    <x v="5"/>
    <n v="33.465000000000003"/>
    <x v="136"/>
  </r>
  <r>
    <s v="HVW-25584-144"/>
    <x v="213"/>
    <x v="229"/>
    <s v="L-L-0.2"/>
    <x v="3"/>
    <x v="1"/>
    <x v="2"/>
    <s v="Lexie Mallan"/>
    <s v="Baton Rouge"/>
    <s v="United States"/>
    <x v="0"/>
    <x v="1"/>
    <n v="4.7549999999999999"/>
    <x v="25"/>
  </r>
  <r>
    <s v="MUY-15309-209"/>
    <x v="214"/>
    <x v="230"/>
    <s v="L-D-1"/>
    <x v="3"/>
    <x v="2"/>
    <x v="0"/>
    <s v="Georgena Bentjens"/>
    <s v="Newbiggin"/>
    <s v="United Kingdom"/>
    <x v="1"/>
    <x v="4"/>
    <n v="12.95"/>
    <x v="9"/>
  </r>
  <r>
    <s v="VAJ-44572-469"/>
    <x v="63"/>
    <x v="231"/>
    <s v="R-L-0.2"/>
    <x v="0"/>
    <x v="1"/>
    <x v="2"/>
    <s v="Delmar Beasant"/>
    <s v="Kilkenny"/>
    <s v="Ireland"/>
    <x v="0"/>
    <x v="2"/>
    <n v="3.585"/>
    <x v="137"/>
  </r>
  <r>
    <s v="YJU-84377-606"/>
    <x v="215"/>
    <x v="232"/>
    <s v="A-D-1"/>
    <x v="2"/>
    <x v="2"/>
    <x v="0"/>
    <s v="Lyn Entwistle"/>
    <s v="Minneapolis"/>
    <s v="United States"/>
    <x v="0"/>
    <x v="3"/>
    <n v="9.9499999999999993"/>
    <x v="138"/>
  </r>
  <r>
    <s v="VNC-93921-469"/>
    <x v="216"/>
    <x v="233"/>
    <s v="L-L-1"/>
    <x v="3"/>
    <x v="1"/>
    <x v="0"/>
    <s v="Zacharias Kiffe"/>
    <s v="Milwaukee"/>
    <s v="United States"/>
    <x v="0"/>
    <x v="3"/>
    <n v="15.85"/>
    <x v="80"/>
  </r>
  <r>
    <s v="SKO-45740-621"/>
    <x v="217"/>
    <x v="233"/>
    <s v="L-M-0.5"/>
    <x v="3"/>
    <x v="0"/>
    <x v="1"/>
    <s v="Zacharias Kiffe"/>
    <s v="Milwaukee"/>
    <s v="United States"/>
    <x v="0"/>
    <x v="0"/>
    <n v="8.73"/>
    <x v="92"/>
  </r>
  <r>
    <s v="OGB-91614-810"/>
    <x v="218"/>
    <x v="234"/>
    <s v="R-M-0.2"/>
    <x v="0"/>
    <x v="0"/>
    <x v="2"/>
    <s v="Mercedes Acott"/>
    <s v="Charlotte"/>
    <s v="United States"/>
    <x v="0"/>
    <x v="3"/>
    <n v="2.9849999999999999"/>
    <x v="55"/>
  </r>
  <r>
    <s v="BQI-61647-496"/>
    <x v="219"/>
    <x v="235"/>
    <s v="E-M-1"/>
    <x v="1"/>
    <x v="0"/>
    <x v="0"/>
    <s v="Connor Heaviside"/>
    <s v="Phoenix"/>
    <s v="United States"/>
    <x v="0"/>
    <x v="1"/>
    <n v="13.75"/>
    <x v="85"/>
  </r>
  <r>
    <s v="IOM-51636-823"/>
    <x v="220"/>
    <x v="236"/>
    <s v="A-D-1"/>
    <x v="2"/>
    <x v="2"/>
    <x v="0"/>
    <s v="Devy Bulbrook"/>
    <s v="Jamaica"/>
    <s v="United States"/>
    <x v="1"/>
    <x v="4"/>
    <n v="9.9499999999999993"/>
    <x v="44"/>
  </r>
  <r>
    <s v="GGD-38107-641"/>
    <x v="221"/>
    <x v="237"/>
    <s v="L-M-1"/>
    <x v="3"/>
    <x v="0"/>
    <x v="0"/>
    <s v="Leia Kernan"/>
    <s v="Champaign"/>
    <s v="United States"/>
    <x v="1"/>
    <x v="5"/>
    <n v="14.55"/>
    <x v="125"/>
  </r>
  <r>
    <s v="LTO-95975-728"/>
    <x v="222"/>
    <x v="238"/>
    <s v="R-L-0.5"/>
    <x v="0"/>
    <x v="1"/>
    <x v="1"/>
    <s v="Rosaline McLae"/>
    <s v="Swindon"/>
    <s v="United Kingdom"/>
    <x v="1"/>
    <x v="5"/>
    <n v="7.17"/>
    <x v="139"/>
  </r>
  <r>
    <s v="IGM-84664-265"/>
    <x v="115"/>
    <x v="239"/>
    <s v="R-L-0.5"/>
    <x v="0"/>
    <x v="1"/>
    <x v="1"/>
    <s v="Cleve Blowfelde"/>
    <s v="Tucson"/>
    <s v="United States"/>
    <x v="1"/>
    <x v="4"/>
    <n v="7.17"/>
    <x v="137"/>
  </r>
  <r>
    <s v="FOJ-02234-063"/>
    <x v="223"/>
    <x v="240"/>
    <s v="E-D-2.5"/>
    <x v="1"/>
    <x v="2"/>
    <x v="3"/>
    <s v="Denyse O'Calleran"/>
    <s v="Pompano Beach"/>
    <s v="United States"/>
    <x v="0"/>
    <x v="3"/>
    <n v="27.945"/>
    <x v="140"/>
  </r>
  <r>
    <s v="MSJ-11909-468"/>
    <x v="189"/>
    <x v="241"/>
    <s v="E-D-2.5"/>
    <x v="1"/>
    <x v="2"/>
    <x v="3"/>
    <s v="Cobby Cromwell"/>
    <s v="Whittier"/>
    <s v="United States"/>
    <x v="1"/>
    <x v="1"/>
    <n v="27.945"/>
    <x v="141"/>
  </r>
  <r>
    <s v="DKB-78053-329"/>
    <x v="224"/>
    <x v="242"/>
    <s v="R-M-0.2"/>
    <x v="0"/>
    <x v="0"/>
    <x v="2"/>
    <s v="Irv Hay"/>
    <s v="Sheffield"/>
    <s v="United Kingdom"/>
    <x v="1"/>
    <x v="0"/>
    <n v="2.9849999999999999"/>
    <x v="14"/>
  </r>
  <r>
    <s v="DFZ-45083-941"/>
    <x v="225"/>
    <x v="243"/>
    <s v="R-L-2.5"/>
    <x v="0"/>
    <x v="1"/>
    <x v="3"/>
    <s v="Tani Taffarello"/>
    <s v="Saint Louis"/>
    <s v="United States"/>
    <x v="0"/>
    <x v="3"/>
    <n v="27.484999999999999"/>
    <x v="142"/>
  </r>
  <r>
    <s v="OTA-40969-710"/>
    <x v="84"/>
    <x v="244"/>
    <s v="R-L-1"/>
    <x v="0"/>
    <x v="1"/>
    <x v="0"/>
    <s v="Monique Canty"/>
    <s v="Erie"/>
    <s v="United States"/>
    <x v="0"/>
    <x v="1"/>
    <n v="11.95"/>
    <x v="143"/>
  </r>
  <r>
    <s v="GRH-45571-667"/>
    <x v="105"/>
    <x v="245"/>
    <s v="E-M-1"/>
    <x v="1"/>
    <x v="0"/>
    <x v="0"/>
    <s v="Javier Kopke"/>
    <s v="Tacoma"/>
    <s v="United States"/>
    <x v="1"/>
    <x v="4"/>
    <n v="13.75"/>
    <x v="1"/>
  </r>
  <r>
    <s v="NXV-05302-067"/>
    <x v="226"/>
    <x v="246"/>
    <s v="L-M-2.5"/>
    <x v="3"/>
    <x v="0"/>
    <x v="3"/>
    <s v="Mar McIver"/>
    <s v="Richmond"/>
    <s v="United States"/>
    <x v="1"/>
    <x v="5"/>
    <n v="33.465000000000003"/>
    <x v="136"/>
  </r>
  <r>
    <s v="VZH-86274-142"/>
    <x v="227"/>
    <x v="247"/>
    <s v="R-L-1"/>
    <x v="0"/>
    <x v="1"/>
    <x v="0"/>
    <s v="Arabella Fransewich"/>
    <s v="Kinsealy-Drinan"/>
    <s v="Ireland"/>
    <x v="0"/>
    <x v="1"/>
    <n v="11.95"/>
    <x v="143"/>
  </r>
  <r>
    <s v="KIX-93248-135"/>
    <x v="228"/>
    <x v="248"/>
    <s v="A-D-0.5"/>
    <x v="2"/>
    <x v="2"/>
    <x v="1"/>
    <s v="Violette Hellmore"/>
    <s v="Little Rock"/>
    <s v="United States"/>
    <x v="0"/>
    <x v="3"/>
    <n v="5.97"/>
    <x v="14"/>
  </r>
  <r>
    <s v="AXR-10962-010"/>
    <x v="181"/>
    <x v="249"/>
    <s v="E-D-1"/>
    <x v="1"/>
    <x v="2"/>
    <x v="0"/>
    <s v="Myles Seawright"/>
    <s v="Newton"/>
    <s v="United Kingdom"/>
    <x v="1"/>
    <x v="0"/>
    <n v="12.15"/>
    <x v="76"/>
  </r>
  <r>
    <s v="IHS-71573-008"/>
    <x v="229"/>
    <x v="250"/>
    <s v="E-D-0.2"/>
    <x v="1"/>
    <x v="2"/>
    <x v="2"/>
    <s v="Silvana Northeast"/>
    <s v="Sparks"/>
    <s v="United States"/>
    <x v="0"/>
    <x v="2"/>
    <n v="3.645"/>
    <x v="10"/>
  </r>
  <r>
    <s v="WBK-62297-910"/>
    <x v="230"/>
    <x v="251"/>
    <s v="A-D-0.2"/>
    <x v="2"/>
    <x v="2"/>
    <x v="2"/>
    <s v="Monica Fearon"/>
    <s v="Denton"/>
    <s v="United States"/>
    <x v="1"/>
    <x v="0"/>
    <n v="2.9849999999999999"/>
    <x v="14"/>
  </r>
  <r>
    <s v="OGY-19377-175"/>
    <x v="231"/>
    <x v="252"/>
    <s v="E-D-0.5"/>
    <x v="1"/>
    <x v="2"/>
    <x v="1"/>
    <s v="Barney Chisnell"/>
    <s v="Tullamore"/>
    <s v="Ireland"/>
    <x v="0"/>
    <x v="3"/>
    <n v="7.29"/>
    <x v="35"/>
  </r>
  <r>
    <s v="ESR-66651-814"/>
    <x v="81"/>
    <x v="253"/>
    <s v="A-D-0.2"/>
    <x v="2"/>
    <x v="2"/>
    <x v="2"/>
    <s v="Jasper Sisneros"/>
    <s v="Raleigh"/>
    <s v="United States"/>
    <x v="0"/>
    <x v="5"/>
    <n v="2.9849999999999999"/>
    <x v="27"/>
  </r>
  <r>
    <s v="CPX-46916-770"/>
    <x v="232"/>
    <x v="254"/>
    <s v="R-L-1"/>
    <x v="0"/>
    <x v="1"/>
    <x v="0"/>
    <s v="Zachariah Carlson"/>
    <s v="Shankill"/>
    <s v="Ireland"/>
    <x v="0"/>
    <x v="2"/>
    <n v="11.95"/>
    <x v="144"/>
  </r>
  <r>
    <s v="MDC-03318-645"/>
    <x v="233"/>
    <x v="255"/>
    <s v="A-L-0.2"/>
    <x v="2"/>
    <x v="1"/>
    <x v="2"/>
    <s v="Warner Maddox"/>
    <s v="New York City"/>
    <s v="United States"/>
    <x v="1"/>
    <x v="0"/>
    <n v="3.8849999999999998"/>
    <x v="5"/>
  </r>
  <r>
    <s v="SFF-86059-407"/>
    <x v="234"/>
    <x v="256"/>
    <s v="A-M-2.5"/>
    <x v="2"/>
    <x v="0"/>
    <x v="3"/>
    <s v="Donnie Hedlestone"/>
    <s v="Stamford"/>
    <s v="United States"/>
    <x v="1"/>
    <x v="3"/>
    <n v="25.875"/>
    <x v="145"/>
  </r>
  <r>
    <s v="SCL-94540-788"/>
    <x v="235"/>
    <x v="257"/>
    <s v="E-L-2.5"/>
    <x v="1"/>
    <x v="1"/>
    <x v="3"/>
    <s v="Teddi Crowthe"/>
    <s v="Toledo"/>
    <s v="United States"/>
    <x v="1"/>
    <x v="2"/>
    <n v="34.155000000000001"/>
    <x v="106"/>
  </r>
  <r>
    <s v="HVU-21634-076"/>
    <x v="236"/>
    <x v="258"/>
    <s v="R-L-2.5"/>
    <x v="0"/>
    <x v="1"/>
    <x v="3"/>
    <s v="Dorelia Bury"/>
    <s v="Castleblayney"/>
    <s v="Ireland"/>
    <x v="0"/>
    <x v="5"/>
    <n v="27.484999999999999"/>
    <x v="108"/>
  </r>
  <r>
    <s v="XUS-73326-418"/>
    <x v="237"/>
    <x v="259"/>
    <s v="E-L-1"/>
    <x v="1"/>
    <x v="1"/>
    <x v="0"/>
    <s v="Gussy Broadbear"/>
    <s v="Columbia"/>
    <s v="United States"/>
    <x v="1"/>
    <x v="2"/>
    <n v="14.85"/>
    <x v="146"/>
  </r>
  <r>
    <s v="XWD-18933-006"/>
    <x v="238"/>
    <x v="260"/>
    <s v="A-L-0.2"/>
    <x v="2"/>
    <x v="1"/>
    <x v="2"/>
    <s v="Emlynne Palfrey"/>
    <s v="Fort Wayne"/>
    <s v="United States"/>
    <x v="0"/>
    <x v="0"/>
    <n v="3.8849999999999998"/>
    <x v="5"/>
  </r>
  <r>
    <s v="HPD-65272-772"/>
    <x v="52"/>
    <x v="261"/>
    <s v="L-M-2.5"/>
    <x v="3"/>
    <x v="0"/>
    <x v="3"/>
    <s v="Parsifal Metrick"/>
    <s v="Saint Louis"/>
    <s v="United States"/>
    <x v="0"/>
    <x v="3"/>
    <n v="33.465000000000003"/>
    <x v="116"/>
  </r>
  <r>
    <s v="JEG-93140-224"/>
    <x v="146"/>
    <x v="262"/>
    <s v="E-M-0.5"/>
    <x v="1"/>
    <x v="0"/>
    <x v="1"/>
    <s v="Christopher Grieveson"/>
    <s v="Portland"/>
    <s v="United States"/>
    <x v="0"/>
    <x v="1"/>
    <n v="8.25"/>
    <x v="1"/>
  </r>
  <r>
    <s v="NNH-62058-950"/>
    <x v="239"/>
    <x v="263"/>
    <s v="E-L-1"/>
    <x v="1"/>
    <x v="1"/>
    <x v="0"/>
    <s v="Karlan Karby"/>
    <s v="Boulder"/>
    <s v="United States"/>
    <x v="0"/>
    <x v="5"/>
    <n v="14.85"/>
    <x v="48"/>
  </r>
  <r>
    <s v="LTD-71429-845"/>
    <x v="240"/>
    <x v="264"/>
    <s v="A-L-0.5"/>
    <x v="2"/>
    <x v="1"/>
    <x v="1"/>
    <s v="Flory Crumpe"/>
    <s v="Norton"/>
    <s v="United Kingdom"/>
    <x v="1"/>
    <x v="3"/>
    <n v="7.77"/>
    <x v="5"/>
  </r>
  <r>
    <s v="MPV-26985-215"/>
    <x v="241"/>
    <x v="265"/>
    <s v="R-D-0.5"/>
    <x v="0"/>
    <x v="2"/>
    <x v="1"/>
    <s v="Amity Chatto"/>
    <s v="Sheffield"/>
    <s v="United Kingdom"/>
    <x v="0"/>
    <x v="3"/>
    <n v="5.37"/>
    <x v="147"/>
  </r>
  <r>
    <s v="IYO-10245-081"/>
    <x v="242"/>
    <x v="266"/>
    <s v="E-M-2.5"/>
    <x v="1"/>
    <x v="0"/>
    <x v="3"/>
    <s v="Nanine McCarthy"/>
    <s v="Louisville"/>
    <s v="United States"/>
    <x v="1"/>
    <x v="4"/>
    <n v="31.625"/>
    <x v="88"/>
  </r>
  <r>
    <s v="BYZ-39669-954"/>
    <x v="243"/>
    <x v="267"/>
    <s v="L-L-2.5"/>
    <x v="3"/>
    <x v="1"/>
    <x v="3"/>
    <s v="Lyndsey Megany"/>
    <s v="Buffalo"/>
    <s v="United States"/>
    <x v="1"/>
    <x v="3"/>
    <n v="36.454999999999998"/>
    <x v="133"/>
  </r>
  <r>
    <s v="EFB-72860-209"/>
    <x v="244"/>
    <x v="268"/>
    <s v="A-M-0.2"/>
    <x v="2"/>
    <x v="0"/>
    <x v="2"/>
    <s v="Byram Mergue"/>
    <s v="Canton"/>
    <s v="United States"/>
    <x v="0"/>
    <x v="5"/>
    <n v="3.375"/>
    <x v="72"/>
  </r>
  <r>
    <s v="GMM-72397-378"/>
    <x v="245"/>
    <x v="269"/>
    <s v="R-L-0.2"/>
    <x v="0"/>
    <x v="1"/>
    <x v="2"/>
    <s v="Kerr Patise"/>
    <s v="Boston"/>
    <s v="United States"/>
    <x v="1"/>
    <x v="5"/>
    <n v="3.585"/>
    <x v="79"/>
  </r>
  <r>
    <s v="LYP-52345-883"/>
    <x v="246"/>
    <x v="270"/>
    <s v="E-M-0.5"/>
    <x v="1"/>
    <x v="0"/>
    <x v="1"/>
    <s v="Mathew Goulter"/>
    <s v="Kinlough"/>
    <s v="Ireland"/>
    <x v="0"/>
    <x v="3"/>
    <n v="8.25"/>
    <x v="112"/>
  </r>
  <r>
    <s v="DFK-35846-692"/>
    <x v="247"/>
    <x v="271"/>
    <s v="R-D-0.2"/>
    <x v="0"/>
    <x v="2"/>
    <x v="2"/>
    <s v="Marris Grcic"/>
    <s v="Lynchburg"/>
    <s v="United States"/>
    <x v="0"/>
    <x v="1"/>
    <n v="2.6850000000000001"/>
    <x v="148"/>
  </r>
  <r>
    <s v="XAH-93337-609"/>
    <x v="248"/>
    <x v="272"/>
    <s v="A-D-1"/>
    <x v="2"/>
    <x v="2"/>
    <x v="0"/>
    <s v="Domeniga Duke"/>
    <s v="Los Angeles"/>
    <s v="United States"/>
    <x v="1"/>
    <x v="1"/>
    <n v="9.9499999999999993"/>
    <x v="2"/>
  </r>
  <r>
    <s v="QKA-72582-644"/>
    <x v="249"/>
    <x v="273"/>
    <s v="E-M-0.5"/>
    <x v="1"/>
    <x v="0"/>
    <x v="1"/>
    <s v="Violante Skouling"/>
    <s v="Drumcondra"/>
    <s v="Ireland"/>
    <x v="1"/>
    <x v="0"/>
    <n v="8.25"/>
    <x v="8"/>
  </r>
  <r>
    <s v="ZDK-84567-102"/>
    <x v="250"/>
    <x v="274"/>
    <s v="A-D-0.5"/>
    <x v="2"/>
    <x v="2"/>
    <x v="1"/>
    <s v="Isidore Hussey"/>
    <s v="Birmingham"/>
    <s v="United States"/>
    <x v="1"/>
    <x v="4"/>
    <n v="5.97"/>
    <x v="13"/>
  </r>
  <r>
    <s v="WAV-38301-984"/>
    <x v="251"/>
    <x v="275"/>
    <s v="A-D-0.5"/>
    <x v="2"/>
    <x v="2"/>
    <x v="1"/>
    <s v="Cassie Pinkerton"/>
    <s v="Alexandria"/>
    <s v="United States"/>
    <x v="1"/>
    <x v="1"/>
    <n v="5.97"/>
    <x v="44"/>
  </r>
  <r>
    <s v="KZR-33023-209"/>
    <x v="177"/>
    <x v="276"/>
    <s v="E-L-1"/>
    <x v="1"/>
    <x v="1"/>
    <x v="0"/>
    <s v="Micki Fero"/>
    <s v="Danbury"/>
    <s v="United States"/>
    <x v="1"/>
    <x v="4"/>
    <n v="14.85"/>
    <x v="69"/>
  </r>
  <r>
    <s v="ULM-49433-003"/>
    <x v="252"/>
    <x v="277"/>
    <s v="E-M-1"/>
    <x v="1"/>
    <x v="0"/>
    <x v="0"/>
    <s v="Cybill Graddell"/>
    <s v="Albany"/>
    <s v="United States"/>
    <x v="1"/>
    <x v="0"/>
    <n v="13.75"/>
    <x v="6"/>
  </r>
  <r>
    <s v="SIB-83254-136"/>
    <x v="253"/>
    <x v="278"/>
    <s v="R-M-0.5"/>
    <x v="0"/>
    <x v="0"/>
    <x v="1"/>
    <s v="Dorian Vizor"/>
    <s v="Naples"/>
    <s v="United States"/>
    <x v="0"/>
    <x v="2"/>
    <n v="5.97"/>
    <x v="29"/>
  </r>
  <r>
    <s v="NOK-50349-551"/>
    <x v="254"/>
    <x v="279"/>
    <s v="R-D-0.5"/>
    <x v="0"/>
    <x v="2"/>
    <x v="1"/>
    <s v="Eddi Sedgebeer"/>
    <s v="Miami Beach"/>
    <s v="United States"/>
    <x v="0"/>
    <x v="4"/>
    <n v="5.37"/>
    <x v="103"/>
  </r>
  <r>
    <s v="YIS-96268-844"/>
    <x v="228"/>
    <x v="280"/>
    <s v="E-L-0.2"/>
    <x v="1"/>
    <x v="1"/>
    <x v="2"/>
    <s v="Ken Lestrange"/>
    <s v="Atlanta"/>
    <s v="United States"/>
    <x v="0"/>
    <x v="2"/>
    <n v="4.4550000000000001"/>
    <x v="149"/>
  </r>
  <r>
    <s v="CXI-04933-855"/>
    <x v="111"/>
    <x v="281"/>
    <s v="E-L-2.5"/>
    <x v="1"/>
    <x v="1"/>
    <x v="3"/>
    <s v="Lacee Tanti"/>
    <s v="Corpus Christi"/>
    <s v="United States"/>
    <x v="0"/>
    <x v="2"/>
    <n v="34.155000000000001"/>
    <x v="106"/>
  </r>
  <r>
    <s v="IZU-90429-382"/>
    <x v="183"/>
    <x v="282"/>
    <s v="A-L-1"/>
    <x v="2"/>
    <x v="1"/>
    <x v="0"/>
    <s v="Arel De Lasci"/>
    <s v="Honolulu"/>
    <s v="United States"/>
    <x v="0"/>
    <x v="4"/>
    <n v="12.95"/>
    <x v="9"/>
  </r>
  <r>
    <s v="WIT-40912-783"/>
    <x v="255"/>
    <x v="283"/>
    <s v="L-D-0.2"/>
    <x v="3"/>
    <x v="2"/>
    <x v="2"/>
    <s v="Trescha Jedrachowicz"/>
    <s v="Austin"/>
    <s v="United States"/>
    <x v="0"/>
    <x v="5"/>
    <n v="3.8849999999999998"/>
    <x v="42"/>
  </r>
  <r>
    <s v="PSD-57291-590"/>
    <x v="256"/>
    <x v="284"/>
    <s v="A-M-0.5"/>
    <x v="2"/>
    <x v="0"/>
    <x v="1"/>
    <s v="Perkin Stonner"/>
    <s v="Baltimore"/>
    <s v="United States"/>
    <x v="1"/>
    <x v="3"/>
    <n v="6.75"/>
    <x v="52"/>
  </r>
  <r>
    <s v="GOI-41472-677"/>
    <x v="7"/>
    <x v="285"/>
    <s v="E-D-2.5"/>
    <x v="1"/>
    <x v="2"/>
    <x v="3"/>
    <s v="Darrin Tingly"/>
    <s v="Lexington"/>
    <s v="United States"/>
    <x v="0"/>
    <x v="5"/>
    <n v="27.945"/>
    <x v="150"/>
  </r>
  <r>
    <s v="KTX-17944-494"/>
    <x v="257"/>
    <x v="286"/>
    <s v="A-L-0.2"/>
    <x v="2"/>
    <x v="1"/>
    <x v="2"/>
    <s v="Claudetta Rushe"/>
    <s v="Charlotte"/>
    <s v="United States"/>
    <x v="0"/>
    <x v="3"/>
    <n v="3.8849999999999998"/>
    <x v="84"/>
  </r>
  <r>
    <s v="JBP-78754-392"/>
    <x v="213"/>
    <x v="286"/>
    <s v="E-M-2.5"/>
    <x v="1"/>
    <x v="0"/>
    <x v="3"/>
    <s v="Claudetta Rushe"/>
    <s v="Charlotte"/>
    <s v="United States"/>
    <x v="0"/>
    <x v="2"/>
    <n v="31.625"/>
    <x v="151"/>
  </r>
  <r>
    <s v="RDM-99811-230"/>
    <x v="258"/>
    <x v="287"/>
    <s v="L-M-0.2"/>
    <x v="3"/>
    <x v="0"/>
    <x v="2"/>
    <s v="Benn Checci"/>
    <s v="Eaton"/>
    <s v="United Kingdom"/>
    <x v="1"/>
    <x v="1"/>
    <n v="4.3650000000000002"/>
    <x v="30"/>
  </r>
  <r>
    <s v="JTU-55897-581"/>
    <x v="259"/>
    <x v="288"/>
    <s v="R-M-0.2"/>
    <x v="0"/>
    <x v="0"/>
    <x v="2"/>
    <s v="Janifer Bagot"/>
    <s v="Lincoln"/>
    <s v="United States"/>
    <x v="1"/>
    <x v="1"/>
    <n v="2.9849999999999999"/>
    <x v="128"/>
  </r>
  <r>
    <s v="CRK-07584-240"/>
    <x v="260"/>
    <x v="289"/>
    <s v="A-M-1"/>
    <x v="2"/>
    <x v="0"/>
    <x v="0"/>
    <s v="Ermin Beeble"/>
    <s v="Cincinnati"/>
    <s v="United States"/>
    <x v="0"/>
    <x v="4"/>
    <n v="11.25"/>
    <x v="65"/>
  </r>
  <r>
    <s v="MKE-75518-399"/>
    <x v="261"/>
    <x v="290"/>
    <s v="A-M-1"/>
    <x v="2"/>
    <x v="0"/>
    <x v="0"/>
    <s v="Cos Fluin"/>
    <s v="Sheffield"/>
    <s v="United Kingdom"/>
    <x v="1"/>
    <x v="4"/>
    <n v="11.25"/>
    <x v="65"/>
  </r>
  <r>
    <s v="AEL-51169-725"/>
    <x v="262"/>
    <x v="291"/>
    <s v="L-M-0.2"/>
    <x v="3"/>
    <x v="0"/>
    <x v="2"/>
    <s v="Eveleen Bletsor"/>
    <s v="West Hartford"/>
    <s v="United States"/>
    <x v="0"/>
    <x v="2"/>
    <n v="4.3650000000000002"/>
    <x v="50"/>
  </r>
  <r>
    <s v="ZGM-83108-823"/>
    <x v="263"/>
    <x v="292"/>
    <s v="E-L-1"/>
    <x v="1"/>
    <x v="1"/>
    <x v="0"/>
    <s v="Paola Brydell"/>
    <s v="Listowel"/>
    <s v="Ireland"/>
    <x v="1"/>
    <x v="3"/>
    <n v="14.85"/>
    <x v="152"/>
  </r>
  <r>
    <s v="RNH-54912-747"/>
    <x v="188"/>
    <x v="293"/>
    <s v="R-M-0.5"/>
    <x v="0"/>
    <x v="0"/>
    <x v="1"/>
    <s v="Natka Leethem"/>
    <s v="Alexandria"/>
    <s v="United States"/>
    <x v="0"/>
    <x v="3"/>
    <n v="5.97"/>
    <x v="14"/>
  </r>
  <r>
    <s v="JDS-33440-914"/>
    <x v="248"/>
    <x v="294"/>
    <s v="R-M-1"/>
    <x v="0"/>
    <x v="0"/>
    <x v="0"/>
    <s v="Ailene Nesfield"/>
    <s v="Belfast"/>
    <s v="United Kingdom"/>
    <x v="0"/>
    <x v="4"/>
    <n v="9.9499999999999993"/>
    <x v="44"/>
  </r>
  <r>
    <s v="SYX-48878-182"/>
    <x v="264"/>
    <x v="295"/>
    <s v="R-D-1"/>
    <x v="0"/>
    <x v="2"/>
    <x v="0"/>
    <s v="Stacy Pickworth"/>
    <s v="Las Vegas"/>
    <s v="United States"/>
    <x v="1"/>
    <x v="1"/>
    <n v="8.9499999999999993"/>
    <x v="153"/>
  </r>
  <r>
    <s v="ZGD-94763-868"/>
    <x v="265"/>
    <x v="296"/>
    <s v="E-L-2.5"/>
    <x v="1"/>
    <x v="1"/>
    <x v="3"/>
    <s v="Melli Brockway"/>
    <s v="Des Moines"/>
    <s v="United States"/>
    <x v="0"/>
    <x v="3"/>
    <n v="34.155000000000001"/>
    <x v="107"/>
  </r>
  <r>
    <s v="CZY-70361-485"/>
    <x v="266"/>
    <x v="297"/>
    <s v="E-L-2.5"/>
    <x v="1"/>
    <x v="1"/>
    <x v="3"/>
    <s v="Nanny Lush"/>
    <s v="Ballivor"/>
    <s v="Ireland"/>
    <x v="1"/>
    <x v="2"/>
    <n v="34.155000000000001"/>
    <x v="106"/>
  </r>
  <r>
    <s v="RJR-12175-899"/>
    <x v="267"/>
    <x v="298"/>
    <s v="E-D-0.5"/>
    <x v="1"/>
    <x v="2"/>
    <x v="1"/>
    <s v="Selma McMillian"/>
    <s v="Akron"/>
    <s v="United States"/>
    <x v="1"/>
    <x v="4"/>
    <n v="7.29"/>
    <x v="10"/>
  </r>
  <r>
    <s v="OVI-27064-381"/>
    <x v="268"/>
    <x v="298"/>
    <s v="R-D-0.5"/>
    <x v="0"/>
    <x v="2"/>
    <x v="1"/>
    <s v="Selma McMillian"/>
    <s v="Akron"/>
    <s v="United States"/>
    <x v="1"/>
    <x v="4"/>
    <n v="5.37"/>
    <x v="103"/>
  </r>
  <r>
    <s v="ELB-07929-407"/>
    <x v="205"/>
    <x v="299"/>
    <s v="A-M-2.5"/>
    <x v="2"/>
    <x v="0"/>
    <x v="3"/>
    <s v="Tess Bennison"/>
    <s v="West Palm Beach"/>
    <s v="United States"/>
    <x v="0"/>
    <x v="0"/>
    <n v="25.875"/>
    <x v="95"/>
  </r>
  <r>
    <s v="UJQ-54441-340"/>
    <x v="269"/>
    <x v="300"/>
    <s v="E-M-0.2"/>
    <x v="1"/>
    <x v="0"/>
    <x v="2"/>
    <s v="Gabie Tweed"/>
    <s v="Fresno"/>
    <s v="United States"/>
    <x v="0"/>
    <x v="0"/>
    <n v="4.125"/>
    <x v="112"/>
  </r>
  <r>
    <s v="UJQ-54441-340"/>
    <x v="269"/>
    <x v="300"/>
    <s v="A-L-0.2"/>
    <x v="2"/>
    <x v="1"/>
    <x v="2"/>
    <s v="Gabie Tweed"/>
    <s v="Fresno"/>
    <s v="United States"/>
    <x v="0"/>
    <x v="1"/>
    <n v="3.8849999999999998"/>
    <x v="117"/>
  </r>
  <r>
    <s v="OWY-43108-475"/>
    <x v="270"/>
    <x v="301"/>
    <s v="A-M-0.2"/>
    <x v="2"/>
    <x v="0"/>
    <x v="2"/>
    <s v="Gaile Goggin"/>
    <s v="Sandyford"/>
    <s v="Ireland"/>
    <x v="0"/>
    <x v="2"/>
    <n v="3.375"/>
    <x v="15"/>
  </r>
  <r>
    <s v="GNO-91911-159"/>
    <x v="145"/>
    <x v="302"/>
    <s v="L-D-0.5"/>
    <x v="3"/>
    <x v="2"/>
    <x v="1"/>
    <s v="Skylar Jeyness"/>
    <s v="Dublin"/>
    <s v="Ireland"/>
    <x v="1"/>
    <x v="4"/>
    <n v="7.77"/>
    <x v="102"/>
  </r>
  <r>
    <s v="CNY-06284-066"/>
    <x v="271"/>
    <x v="303"/>
    <s v="E-D-0.2"/>
    <x v="1"/>
    <x v="2"/>
    <x v="2"/>
    <s v="Donica Bonhome"/>
    <s v="Knoxville"/>
    <s v="United States"/>
    <x v="0"/>
    <x v="1"/>
    <n v="3.645"/>
    <x v="94"/>
  </r>
  <r>
    <s v="OQS-46321-904"/>
    <x v="272"/>
    <x v="304"/>
    <s v="E-M-1"/>
    <x v="1"/>
    <x v="0"/>
    <x v="0"/>
    <s v="Diena Peetermann"/>
    <s v="Shawnee Mission"/>
    <s v="United States"/>
    <x v="1"/>
    <x v="3"/>
    <n v="13.75"/>
    <x v="154"/>
  </r>
  <r>
    <s v="IBW-87442-480"/>
    <x v="273"/>
    <x v="305"/>
    <s v="A-L-2.5"/>
    <x v="2"/>
    <x v="1"/>
    <x v="3"/>
    <s v="Trina Le Sarr"/>
    <s v="San Francisco"/>
    <s v="United States"/>
    <x v="0"/>
    <x v="3"/>
    <n v="29.785"/>
    <x v="91"/>
  </r>
  <r>
    <s v="DGZ-82537-477"/>
    <x v="252"/>
    <x v="306"/>
    <s v="R-D-1"/>
    <x v="0"/>
    <x v="2"/>
    <x v="0"/>
    <s v="Flynn Antony"/>
    <s v="Birmingham"/>
    <s v="United States"/>
    <x v="1"/>
    <x v="1"/>
    <n v="8.9499999999999993"/>
    <x v="153"/>
  </r>
  <r>
    <s v="YPT-95383-088"/>
    <x v="274"/>
    <x v="306"/>
    <s v="E-D-2.5"/>
    <x v="1"/>
    <x v="2"/>
    <x v="3"/>
    <s v="Flynn Antony"/>
    <s v="Birmingham"/>
    <s v="United States"/>
    <x v="1"/>
    <x v="0"/>
    <n v="27.945"/>
    <x v="155"/>
  </r>
  <r>
    <s v="DKM-97676-850"/>
    <x v="275"/>
    <x v="306"/>
    <s v="E-D-0.5"/>
    <x v="1"/>
    <x v="2"/>
    <x v="1"/>
    <s v="Flynn Antony"/>
    <s v="Birmingham"/>
    <s v="United States"/>
    <x v="1"/>
    <x v="1"/>
    <n v="7.29"/>
    <x v="114"/>
  </r>
  <r>
    <s v="WUG-76466-650"/>
    <x v="276"/>
    <x v="306"/>
    <s v="L-D-0.5"/>
    <x v="3"/>
    <x v="2"/>
    <x v="1"/>
    <s v="Flynn Antony"/>
    <s v="Birmingham"/>
    <s v="United States"/>
    <x v="1"/>
    <x v="4"/>
    <n v="7.77"/>
    <x v="102"/>
  </r>
  <r>
    <s v="LPS-39089-432"/>
    <x v="277"/>
    <x v="307"/>
    <s v="R-D-1"/>
    <x v="0"/>
    <x v="2"/>
    <x v="0"/>
    <s v="Baudoin Alldridge"/>
    <s v="Brooklyn"/>
    <s v="United States"/>
    <x v="0"/>
    <x v="1"/>
    <n v="8.9499999999999993"/>
    <x v="153"/>
  </r>
  <r>
    <s v="MQU-86100-929"/>
    <x v="278"/>
    <x v="308"/>
    <s v="L-L-0.5"/>
    <x v="3"/>
    <x v="1"/>
    <x v="1"/>
    <s v="Homer Dulany"/>
    <s v="El Paso"/>
    <s v="United States"/>
    <x v="0"/>
    <x v="5"/>
    <n v="9.51"/>
    <x v="82"/>
  </r>
  <r>
    <s v="XUR-14132-391"/>
    <x v="279"/>
    <x v="309"/>
    <s v="R-D-0.5"/>
    <x v="0"/>
    <x v="2"/>
    <x v="1"/>
    <s v="Lisa Goodger"/>
    <s v="Sacramento"/>
    <s v="United States"/>
    <x v="0"/>
    <x v="5"/>
    <n v="5.37"/>
    <x v="156"/>
  </r>
  <r>
    <s v="SHP-17012-870"/>
    <x v="280"/>
    <x v="310"/>
    <s v="R-M-2.5"/>
    <x v="0"/>
    <x v="0"/>
    <x v="3"/>
    <s v="Corine Drewett"/>
    <s v="Boynton Beach"/>
    <s v="United States"/>
    <x v="0"/>
    <x v="3"/>
    <n v="22.885000000000002"/>
    <x v="157"/>
  </r>
  <r>
    <s v="FDY-03414-903"/>
    <x v="281"/>
    <x v="311"/>
    <s v="A-D-0.5"/>
    <x v="2"/>
    <x v="2"/>
    <x v="1"/>
    <s v="Quinn Parsons"/>
    <s v="Los Angeles"/>
    <s v="United States"/>
    <x v="0"/>
    <x v="4"/>
    <n v="5.97"/>
    <x v="13"/>
  </r>
  <r>
    <s v="WXT-85291-143"/>
    <x v="282"/>
    <x v="312"/>
    <s v="R-M-0.5"/>
    <x v="0"/>
    <x v="0"/>
    <x v="1"/>
    <s v="Vivyan Ceely"/>
    <s v="Baltimore"/>
    <s v="United States"/>
    <x v="0"/>
    <x v="5"/>
    <n v="5.97"/>
    <x v="86"/>
  </r>
  <r>
    <s v="QNP-18893-547"/>
    <x v="283"/>
    <x v="313"/>
    <s v="R-L-1"/>
    <x v="0"/>
    <x v="1"/>
    <x v="0"/>
    <s v="Elonore Goodings"/>
    <s v="Salt Lake City"/>
    <s v="United States"/>
    <x v="1"/>
    <x v="1"/>
    <n v="11.95"/>
    <x v="143"/>
  </r>
  <r>
    <s v="DOH-92927-530"/>
    <x v="284"/>
    <x v="314"/>
    <s v="L-L-0.2"/>
    <x v="3"/>
    <x v="1"/>
    <x v="2"/>
    <s v="Clement Vasiliev"/>
    <s v="Garland"/>
    <s v="United States"/>
    <x v="0"/>
    <x v="2"/>
    <n v="4.7549999999999999"/>
    <x v="36"/>
  </r>
  <r>
    <s v="HGJ-82768-173"/>
    <x v="285"/>
    <x v="315"/>
    <s v="A-M-1"/>
    <x v="2"/>
    <x v="0"/>
    <x v="0"/>
    <s v="Terencio O'Moylan"/>
    <s v="Church End"/>
    <s v="United Kingdom"/>
    <x v="1"/>
    <x v="5"/>
    <n v="11.25"/>
    <x v="158"/>
  </r>
  <r>
    <s v="OYH-16533-767"/>
    <x v="286"/>
    <x v="316"/>
    <s v="E-L-1"/>
    <x v="1"/>
    <x v="1"/>
    <x v="0"/>
    <s v="Wyatan Fetherston"/>
    <s v="New York City"/>
    <s v="United States"/>
    <x v="1"/>
    <x v="5"/>
    <n v="14.85"/>
    <x v="48"/>
  </r>
  <r>
    <s v="DWW-28642-549"/>
    <x v="287"/>
    <x v="317"/>
    <s v="E-D-0.2"/>
    <x v="1"/>
    <x v="2"/>
    <x v="2"/>
    <s v="Emmaline Rasmus"/>
    <s v="Boston"/>
    <s v="United States"/>
    <x v="0"/>
    <x v="0"/>
    <n v="3.645"/>
    <x v="35"/>
  </r>
  <r>
    <s v="CGO-79583-871"/>
    <x v="288"/>
    <x v="318"/>
    <s v="E-D-0.5"/>
    <x v="1"/>
    <x v="2"/>
    <x v="1"/>
    <s v="Wesley Giorgioni"/>
    <s v="San Francisco"/>
    <s v="United States"/>
    <x v="0"/>
    <x v="3"/>
    <n v="7.29"/>
    <x v="35"/>
  </r>
  <r>
    <s v="TFY-52090-386"/>
    <x v="289"/>
    <x v="319"/>
    <s v="E-L-0.5"/>
    <x v="1"/>
    <x v="1"/>
    <x v="1"/>
    <s v="Lucienne Scargle"/>
    <s v="Indianapolis"/>
    <s v="United States"/>
    <x v="1"/>
    <x v="0"/>
    <n v="8.91"/>
    <x v="58"/>
  </r>
  <r>
    <s v="TFY-52090-386"/>
    <x v="289"/>
    <x v="319"/>
    <s v="L-D-0.5"/>
    <x v="3"/>
    <x v="2"/>
    <x v="1"/>
    <s v="Lucienne Scargle"/>
    <s v="Indianapolis"/>
    <s v="United States"/>
    <x v="1"/>
    <x v="1"/>
    <n v="7.77"/>
    <x v="9"/>
  </r>
  <r>
    <s v="NYY-73968-094"/>
    <x v="290"/>
    <x v="320"/>
    <s v="R-D-0.5"/>
    <x v="0"/>
    <x v="2"/>
    <x v="1"/>
    <s v="Noam Climance"/>
    <s v="Seattle"/>
    <s v="United States"/>
    <x v="1"/>
    <x v="2"/>
    <n v="5.37"/>
    <x v="111"/>
  </r>
  <r>
    <s v="QEY-71761-460"/>
    <x v="250"/>
    <x v="321"/>
    <s v="R-M-1"/>
    <x v="0"/>
    <x v="0"/>
    <x v="0"/>
    <s v="Catarina Donn"/>
    <s v="Dunmanway"/>
    <s v="Ireland"/>
    <x v="0"/>
    <x v="0"/>
    <n v="9.9499999999999993"/>
    <x v="0"/>
  </r>
  <r>
    <s v="GKQ-82603-910"/>
    <x v="291"/>
    <x v="322"/>
    <s v="R-L-1"/>
    <x v="0"/>
    <x v="1"/>
    <x v="0"/>
    <s v="Ameline Snazle"/>
    <s v="Montgomery"/>
    <s v="United States"/>
    <x v="1"/>
    <x v="1"/>
    <n v="11.95"/>
    <x v="143"/>
  </r>
  <r>
    <s v="IOB-32673-745"/>
    <x v="292"/>
    <x v="323"/>
    <s v="A-L-0.5"/>
    <x v="2"/>
    <x v="1"/>
    <x v="1"/>
    <s v="Rebeka Worg"/>
    <s v="Dallas"/>
    <s v="United States"/>
    <x v="0"/>
    <x v="4"/>
    <n v="7.77"/>
    <x v="102"/>
  </r>
  <r>
    <s v="YAU-98893-150"/>
    <x v="293"/>
    <x v="324"/>
    <s v="L-M-1"/>
    <x v="3"/>
    <x v="0"/>
    <x v="0"/>
    <s v="Lewes Danes"/>
    <s v="Topeka"/>
    <s v="United States"/>
    <x v="1"/>
    <x v="4"/>
    <n v="14.55"/>
    <x v="38"/>
  </r>
  <r>
    <s v="XNM-14163-951"/>
    <x v="294"/>
    <x v="325"/>
    <s v="E-L-2.5"/>
    <x v="1"/>
    <x v="1"/>
    <x v="3"/>
    <s v="Shelli Keynd"/>
    <s v="Tyler"/>
    <s v="United States"/>
    <x v="1"/>
    <x v="2"/>
    <n v="34.155000000000001"/>
    <x v="106"/>
  </r>
  <r>
    <s v="JPB-45297-000"/>
    <x v="295"/>
    <x v="326"/>
    <s v="R-L-0.2"/>
    <x v="0"/>
    <x v="1"/>
    <x v="2"/>
    <s v="Dell Daveridge"/>
    <s v="Los Angeles"/>
    <s v="United States"/>
    <x v="1"/>
    <x v="5"/>
    <n v="3.585"/>
    <x v="79"/>
  </r>
  <r>
    <s v="MOU-74341-266"/>
    <x v="296"/>
    <x v="327"/>
    <s v="A-D-0.5"/>
    <x v="2"/>
    <x v="2"/>
    <x v="1"/>
    <s v="Joshuah Awdry"/>
    <s v="Shreveport"/>
    <s v="United States"/>
    <x v="1"/>
    <x v="5"/>
    <n v="5.97"/>
    <x v="86"/>
  </r>
  <r>
    <s v="DHJ-87461-571"/>
    <x v="297"/>
    <x v="328"/>
    <s v="A-M-1"/>
    <x v="2"/>
    <x v="0"/>
    <x v="0"/>
    <s v="Ethel Ryles"/>
    <s v="Boise"/>
    <s v="United States"/>
    <x v="1"/>
    <x v="0"/>
    <n v="11.25"/>
    <x v="122"/>
  </r>
  <r>
    <s v="UEB-09112-118"/>
    <x v="298"/>
    <x v="329"/>
    <s v="A-M-0.5"/>
    <x v="2"/>
    <x v="0"/>
    <x v="1"/>
    <s v="Maitilde Boxill"/>
    <s v="Montgomery"/>
    <s v="United States"/>
    <x v="0"/>
    <x v="5"/>
    <n v="6.75"/>
    <x v="21"/>
  </r>
  <r>
    <s v="ORZ-67699-748"/>
    <x v="299"/>
    <x v="330"/>
    <s v="A-M-2.5"/>
    <x v="2"/>
    <x v="0"/>
    <x v="3"/>
    <s v="Jodee Caldicott"/>
    <s v="Fort Pierce"/>
    <s v="United States"/>
    <x v="1"/>
    <x v="2"/>
    <n v="25.875"/>
    <x v="71"/>
  </r>
  <r>
    <s v="JXP-28398-485"/>
    <x v="300"/>
    <x v="331"/>
    <s v="A-D-2.5"/>
    <x v="2"/>
    <x v="2"/>
    <x v="3"/>
    <s v="Marianna Vedmore"/>
    <s v="Greensboro"/>
    <s v="United States"/>
    <x v="0"/>
    <x v="1"/>
    <n v="22.885000000000002"/>
    <x v="23"/>
  </r>
  <r>
    <s v="WWH-92259-198"/>
    <x v="301"/>
    <x v="332"/>
    <s v="L-D-1"/>
    <x v="3"/>
    <x v="2"/>
    <x v="0"/>
    <s v="Willey Romao"/>
    <s v="Sacramento"/>
    <s v="United States"/>
    <x v="0"/>
    <x v="5"/>
    <n v="12.95"/>
    <x v="67"/>
  </r>
  <r>
    <s v="FLR-82914-153"/>
    <x v="302"/>
    <x v="333"/>
    <s v="A-M-2.5"/>
    <x v="2"/>
    <x v="0"/>
    <x v="3"/>
    <s v="Enriqueta Ixor"/>
    <s v="Round Rock"/>
    <s v="United States"/>
    <x v="1"/>
    <x v="2"/>
    <n v="25.875"/>
    <x v="71"/>
  </r>
  <r>
    <s v="AMB-93600-000"/>
    <x v="303"/>
    <x v="334"/>
    <s v="A-L-2.5"/>
    <x v="2"/>
    <x v="1"/>
    <x v="3"/>
    <s v="Tomasina Cotmore"/>
    <s v="Reston"/>
    <s v="United States"/>
    <x v="1"/>
    <x v="3"/>
    <n v="29.785"/>
    <x v="91"/>
  </r>
  <r>
    <s v="FEP-36895-658"/>
    <x v="304"/>
    <x v="335"/>
    <s v="R-L-0.2"/>
    <x v="0"/>
    <x v="1"/>
    <x v="2"/>
    <s v="Yuma Skipsey"/>
    <s v="Charlton"/>
    <s v="United Kingdom"/>
    <x v="1"/>
    <x v="2"/>
    <n v="3.585"/>
    <x v="137"/>
  </r>
  <r>
    <s v="RXW-91413-276"/>
    <x v="305"/>
    <x v="336"/>
    <s v="R-D-2.5"/>
    <x v="0"/>
    <x v="2"/>
    <x v="3"/>
    <s v="Nicko Corps"/>
    <s v="Columbia"/>
    <s v="United States"/>
    <x v="1"/>
    <x v="0"/>
    <n v="20.585000000000001"/>
    <x v="20"/>
  </r>
  <r>
    <s v="RXW-91413-276"/>
    <x v="305"/>
    <x v="336"/>
    <s v="R-M-0.5"/>
    <x v="0"/>
    <x v="0"/>
    <x v="1"/>
    <s v="Nicko Corps"/>
    <s v="Columbia"/>
    <s v="United States"/>
    <x v="1"/>
    <x v="3"/>
    <n v="5.97"/>
    <x v="14"/>
  </r>
  <r>
    <s v="SDB-77492-188"/>
    <x v="306"/>
    <x v="337"/>
    <s v="E-L-1"/>
    <x v="1"/>
    <x v="1"/>
    <x v="0"/>
    <s v="Feliks Babber"/>
    <s v="Phoenix"/>
    <s v="United States"/>
    <x v="0"/>
    <x v="1"/>
    <n v="14.85"/>
    <x v="159"/>
  </r>
  <r>
    <s v="RZN-65182-395"/>
    <x v="197"/>
    <x v="338"/>
    <s v="L-M-1"/>
    <x v="3"/>
    <x v="0"/>
    <x v="0"/>
    <s v="Kaja Loxton"/>
    <s v="Miami"/>
    <s v="United States"/>
    <x v="1"/>
    <x v="2"/>
    <n v="14.55"/>
    <x v="75"/>
  </r>
  <r>
    <s v="HDQ-86094-507"/>
    <x v="111"/>
    <x v="339"/>
    <s v="E-D-1"/>
    <x v="1"/>
    <x v="2"/>
    <x v="0"/>
    <s v="Parker Tofful"/>
    <s v="Fresno"/>
    <s v="United States"/>
    <x v="0"/>
    <x v="2"/>
    <n v="12.15"/>
    <x v="118"/>
  </r>
  <r>
    <s v="YXO-79631-417"/>
    <x v="27"/>
    <x v="340"/>
    <s v="L-D-0.5"/>
    <x v="3"/>
    <x v="2"/>
    <x v="1"/>
    <s v="Casi Gwinnett"/>
    <s v="Anaheim"/>
    <s v="United States"/>
    <x v="1"/>
    <x v="3"/>
    <n v="7.77"/>
    <x v="5"/>
  </r>
  <r>
    <s v="SNF-57032-096"/>
    <x v="307"/>
    <x v="341"/>
    <s v="E-D-0.5"/>
    <x v="1"/>
    <x v="2"/>
    <x v="1"/>
    <s v="Saree Ellesworth"/>
    <s v="Newport News"/>
    <s v="United States"/>
    <x v="1"/>
    <x v="2"/>
    <n v="7.29"/>
    <x v="160"/>
  </r>
  <r>
    <s v="DGL-29648-995"/>
    <x v="308"/>
    <x v="342"/>
    <s v="L-M-0.2"/>
    <x v="3"/>
    <x v="0"/>
    <x v="2"/>
    <s v="Silvio Iorizzi"/>
    <s v="Spartanburg"/>
    <s v="United States"/>
    <x v="0"/>
    <x v="0"/>
    <n v="4.3650000000000002"/>
    <x v="34"/>
  </r>
  <r>
    <s v="GPU-65651-504"/>
    <x v="309"/>
    <x v="343"/>
    <s v="E-M-2.5"/>
    <x v="1"/>
    <x v="0"/>
    <x v="3"/>
    <s v="Leesa Flaonier"/>
    <s v="Staten Island"/>
    <s v="United States"/>
    <x v="1"/>
    <x v="0"/>
    <n v="31.625"/>
    <x v="41"/>
  </r>
  <r>
    <s v="OJU-34452-896"/>
    <x v="310"/>
    <x v="344"/>
    <s v="E-L-0.5"/>
    <x v="1"/>
    <x v="1"/>
    <x v="1"/>
    <s v="Abba Pummell"/>
    <s v="Las Vegas"/>
    <s v="United States"/>
    <x v="0"/>
    <x v="3"/>
    <n v="8.91"/>
    <x v="161"/>
  </r>
  <r>
    <s v="GZS-50547-887"/>
    <x v="311"/>
    <x v="345"/>
    <s v="E-D-1"/>
    <x v="1"/>
    <x v="2"/>
    <x v="0"/>
    <s v="Corinna Catcheside"/>
    <s v="Salt Lake City"/>
    <s v="United States"/>
    <x v="0"/>
    <x v="0"/>
    <n v="12.15"/>
    <x v="76"/>
  </r>
  <r>
    <s v="ESR-54041-053"/>
    <x v="312"/>
    <x v="346"/>
    <s v="A-L-0.5"/>
    <x v="2"/>
    <x v="1"/>
    <x v="1"/>
    <s v="Cortney Gibbonson"/>
    <s v="Seattle"/>
    <s v="United States"/>
    <x v="0"/>
    <x v="2"/>
    <n v="7.77"/>
    <x v="162"/>
  </r>
  <r>
    <s v="OGD-10781-526"/>
    <x v="132"/>
    <x v="347"/>
    <s v="R-L-0.5"/>
    <x v="0"/>
    <x v="1"/>
    <x v="1"/>
    <s v="Terri Farra"/>
    <s v="Odessa"/>
    <s v="United States"/>
    <x v="1"/>
    <x v="2"/>
    <n v="7.17"/>
    <x v="163"/>
  </r>
  <r>
    <s v="WNR-71736-993"/>
    <x v="313"/>
    <x v="347"/>
    <s v="L-D-0.5"/>
    <x v="3"/>
    <x v="2"/>
    <x v="1"/>
    <s v="Terri Farra"/>
    <s v="Odessa"/>
    <s v="United States"/>
    <x v="1"/>
    <x v="5"/>
    <n v="7.77"/>
    <x v="113"/>
  </r>
  <r>
    <s v="WNR-71736-993"/>
    <x v="313"/>
    <x v="347"/>
    <s v="A-D-2.5"/>
    <x v="2"/>
    <x v="2"/>
    <x v="3"/>
    <s v="Terri Farra"/>
    <s v="Odessa"/>
    <s v="United States"/>
    <x v="1"/>
    <x v="2"/>
    <n v="22.885000000000002"/>
    <x v="164"/>
  </r>
  <r>
    <s v="JLJ-81802-619"/>
    <x v="135"/>
    <x v="347"/>
    <s v="A-L-1"/>
    <x v="2"/>
    <x v="1"/>
    <x v="0"/>
    <s v="Terri Farra"/>
    <s v="Odessa"/>
    <s v="United States"/>
    <x v="1"/>
    <x v="2"/>
    <n v="12.95"/>
    <x v="11"/>
  </r>
  <r>
    <s v="FVH-29271-315"/>
    <x v="314"/>
    <x v="348"/>
    <s v="A-D-0.5"/>
    <x v="2"/>
    <x v="2"/>
    <x v="1"/>
    <s v="Corney Curme"/>
    <s v="Castleknock"/>
    <s v="Ireland"/>
    <x v="0"/>
    <x v="4"/>
    <n v="5.97"/>
    <x v="13"/>
  </r>
  <r>
    <s v="BNZ-20544-633"/>
    <x v="315"/>
    <x v="349"/>
    <s v="L-L-0.5"/>
    <x v="3"/>
    <x v="1"/>
    <x v="1"/>
    <s v="Gothart Bamfield"/>
    <s v="Irving"/>
    <s v="United States"/>
    <x v="0"/>
    <x v="5"/>
    <n v="9.51"/>
    <x v="82"/>
  </r>
  <r>
    <s v="FUX-85791-078"/>
    <x v="156"/>
    <x v="350"/>
    <s v="A-M-0.2"/>
    <x v="2"/>
    <x v="0"/>
    <x v="2"/>
    <s v="Waylin Hollingdale"/>
    <s v="Dayton"/>
    <s v="United States"/>
    <x v="0"/>
    <x v="0"/>
    <n v="3.375"/>
    <x v="52"/>
  </r>
  <r>
    <s v="YXP-20078-116"/>
    <x v="316"/>
    <x v="351"/>
    <s v="R-M-0.5"/>
    <x v="0"/>
    <x v="0"/>
    <x v="1"/>
    <s v="Judd De Leek"/>
    <s v="Grand Rapids"/>
    <s v="United States"/>
    <x v="0"/>
    <x v="3"/>
    <n v="5.97"/>
    <x v="14"/>
  </r>
  <r>
    <s v="VQV-59984-866"/>
    <x v="317"/>
    <x v="352"/>
    <s v="R-D-0.2"/>
    <x v="0"/>
    <x v="2"/>
    <x v="2"/>
    <s v="Vanya Skullet"/>
    <s v="Balally"/>
    <s v="Ireland"/>
    <x v="1"/>
    <x v="4"/>
    <n v="2.6850000000000001"/>
    <x v="37"/>
  </r>
  <r>
    <s v="JEH-37276-048"/>
    <x v="318"/>
    <x v="353"/>
    <s v="A-L-0.5"/>
    <x v="2"/>
    <x v="1"/>
    <x v="1"/>
    <s v="Jany Rudeforth"/>
    <s v="Tullyallen"/>
    <s v="Ireland"/>
    <x v="0"/>
    <x v="4"/>
    <n v="7.77"/>
    <x v="102"/>
  </r>
  <r>
    <s v="VYD-28555-589"/>
    <x v="319"/>
    <x v="354"/>
    <s v="R-L-0.5"/>
    <x v="0"/>
    <x v="1"/>
    <x v="1"/>
    <s v="Ashbey Tomaszewski"/>
    <s v="Sutton"/>
    <s v="United Kingdom"/>
    <x v="0"/>
    <x v="2"/>
    <n v="7.17"/>
    <x v="163"/>
  </r>
  <r>
    <s v="RJV-08261-583"/>
    <x v="183"/>
    <x v="355"/>
    <s v="A-D-0.2"/>
    <x v="2"/>
    <x v="2"/>
    <x v="2"/>
    <s v="Pren Bess"/>
    <s v="Los Angeles"/>
    <s v="United States"/>
    <x v="0"/>
    <x v="1"/>
    <n v="2.9849999999999999"/>
    <x v="128"/>
  </r>
  <r>
    <s v="PMR-56062-609"/>
    <x v="320"/>
    <x v="356"/>
    <s v="E-D-0.5"/>
    <x v="1"/>
    <x v="2"/>
    <x v="1"/>
    <s v="Elka Windress"/>
    <s v="Baltimore"/>
    <s v="United States"/>
    <x v="1"/>
    <x v="4"/>
    <n v="7.29"/>
    <x v="10"/>
  </r>
  <r>
    <s v="XLD-12920-505"/>
    <x v="321"/>
    <x v="357"/>
    <s v="E-L-0.5"/>
    <x v="1"/>
    <x v="1"/>
    <x v="1"/>
    <s v="Marty Kidstoun"/>
    <s v="Harrisburg"/>
    <s v="United States"/>
    <x v="0"/>
    <x v="2"/>
    <n v="8.91"/>
    <x v="119"/>
  </r>
  <r>
    <s v="UBW-50312-037"/>
    <x v="322"/>
    <x v="358"/>
    <s v="A-L-2.5"/>
    <x v="2"/>
    <x v="1"/>
    <x v="3"/>
    <s v="Nickey Dimbleby"/>
    <s v="Dallas"/>
    <s v="United States"/>
    <x v="1"/>
    <x v="5"/>
    <n v="29.785"/>
    <x v="129"/>
  </r>
  <r>
    <s v="QAW-05889-019"/>
    <x v="323"/>
    <x v="359"/>
    <s v="L-M-0.5"/>
    <x v="3"/>
    <x v="0"/>
    <x v="1"/>
    <s v="Virgil Baumadier"/>
    <s v="Kansas City"/>
    <s v="United States"/>
    <x v="0"/>
    <x v="1"/>
    <n v="8.73"/>
    <x v="38"/>
  </r>
  <r>
    <s v="EPT-12715-397"/>
    <x v="128"/>
    <x v="360"/>
    <s v="A-D-0.2"/>
    <x v="2"/>
    <x v="2"/>
    <x v="2"/>
    <s v="Lenore Messenbird"/>
    <s v="Springfield"/>
    <s v="United States"/>
    <x v="0"/>
    <x v="2"/>
    <n v="2.9849999999999999"/>
    <x v="13"/>
  </r>
  <r>
    <s v="DHT-93810-053"/>
    <x v="324"/>
    <x v="361"/>
    <s v="E-L-1"/>
    <x v="1"/>
    <x v="1"/>
    <x v="0"/>
    <s v="Shirleen Welds"/>
    <s v="New Haven"/>
    <s v="United States"/>
    <x v="0"/>
    <x v="1"/>
    <n v="14.85"/>
    <x v="159"/>
  </r>
  <r>
    <s v="DMY-96037-963"/>
    <x v="325"/>
    <x v="362"/>
    <s v="L-D-0.2"/>
    <x v="3"/>
    <x v="2"/>
    <x v="2"/>
    <s v="Maisie Sarvar"/>
    <s v="Lawrenceville"/>
    <s v="United States"/>
    <x v="0"/>
    <x v="4"/>
    <n v="3.8849999999999998"/>
    <x v="22"/>
  </r>
  <r>
    <s v="MBM-55936-917"/>
    <x v="326"/>
    <x v="363"/>
    <s v="L-D-0.5"/>
    <x v="3"/>
    <x v="2"/>
    <x v="1"/>
    <s v="Andrej Havick"/>
    <s v="Asheville"/>
    <s v="United States"/>
    <x v="0"/>
    <x v="4"/>
    <n v="7.77"/>
    <x v="102"/>
  </r>
  <r>
    <s v="TPA-93614-840"/>
    <x v="327"/>
    <x v="364"/>
    <s v="E-D-0.5"/>
    <x v="1"/>
    <x v="2"/>
    <x v="1"/>
    <s v="Sloan Diviny"/>
    <s v="Saint Paul"/>
    <s v="United States"/>
    <x v="0"/>
    <x v="0"/>
    <n v="7.29"/>
    <x v="18"/>
  </r>
  <r>
    <s v="WDM-77521-710"/>
    <x v="328"/>
    <x v="365"/>
    <s v="A-M-0.5"/>
    <x v="2"/>
    <x v="0"/>
    <x v="1"/>
    <s v="Itch Norquoy"/>
    <s v="Minneapolis"/>
    <s v="United States"/>
    <x v="1"/>
    <x v="0"/>
    <n v="6.75"/>
    <x v="72"/>
  </r>
  <r>
    <s v="EIP-19142-462"/>
    <x v="329"/>
    <x v="366"/>
    <s v="E-L-1"/>
    <x v="1"/>
    <x v="1"/>
    <x v="0"/>
    <s v="Anson Iddison"/>
    <s v="Santa Ana"/>
    <s v="United States"/>
    <x v="1"/>
    <x v="2"/>
    <n v="14.85"/>
    <x v="146"/>
  </r>
  <r>
    <s v="EIP-19142-462"/>
    <x v="329"/>
    <x v="366"/>
    <s v="A-L-0.2"/>
    <x v="2"/>
    <x v="1"/>
    <x v="2"/>
    <s v="Anson Iddison"/>
    <s v="Santa Ana"/>
    <s v="United States"/>
    <x v="1"/>
    <x v="3"/>
    <n v="3.8849999999999998"/>
    <x v="84"/>
  </r>
  <r>
    <s v="ZZL-76364-387"/>
    <x v="128"/>
    <x v="367"/>
    <s v="R-L-2.5"/>
    <x v="0"/>
    <x v="1"/>
    <x v="3"/>
    <s v="Randal Longfield"/>
    <s v="Minneapolis"/>
    <s v="United States"/>
    <x v="1"/>
    <x v="5"/>
    <n v="27.484999999999999"/>
    <x v="108"/>
  </r>
  <r>
    <s v="GMF-18638-786"/>
    <x v="330"/>
    <x v="368"/>
    <s v="L-D-0.5"/>
    <x v="3"/>
    <x v="2"/>
    <x v="1"/>
    <s v="Gregorius Kislingbury"/>
    <s v="Washington"/>
    <s v="United States"/>
    <x v="0"/>
    <x v="2"/>
    <n v="7.77"/>
    <x v="162"/>
  </r>
  <r>
    <s v="TDJ-20844-787"/>
    <x v="331"/>
    <x v="369"/>
    <s v="A-L-0.5"/>
    <x v="2"/>
    <x v="1"/>
    <x v="1"/>
    <s v="Xenos Gibbons"/>
    <s v="San Bernardino"/>
    <s v="United States"/>
    <x v="1"/>
    <x v="1"/>
    <n v="7.77"/>
    <x v="9"/>
  </r>
  <r>
    <s v="BWK-39400-446"/>
    <x v="332"/>
    <x v="370"/>
    <s v="L-D-0.5"/>
    <x v="3"/>
    <x v="2"/>
    <x v="1"/>
    <s v="Fleur Parres"/>
    <s v="Rochester"/>
    <s v="United States"/>
    <x v="0"/>
    <x v="5"/>
    <n v="7.77"/>
    <x v="113"/>
  </r>
  <r>
    <s v="LCB-02099-995"/>
    <x v="333"/>
    <x v="371"/>
    <s v="A-D-0.2"/>
    <x v="2"/>
    <x v="2"/>
    <x v="2"/>
    <s v="Gran Sibray"/>
    <s v="Vancouver"/>
    <s v="United States"/>
    <x v="0"/>
    <x v="2"/>
    <n v="2.9849999999999999"/>
    <x v="13"/>
  </r>
  <r>
    <s v="UBA-43678-174"/>
    <x v="334"/>
    <x v="372"/>
    <s v="E-D-2.5"/>
    <x v="1"/>
    <x v="2"/>
    <x v="3"/>
    <s v="Ingelbert Hotchkin"/>
    <s v="Preston"/>
    <s v="United Kingdom"/>
    <x v="1"/>
    <x v="2"/>
    <n v="27.945"/>
    <x v="165"/>
  </r>
  <r>
    <s v="UDH-24280-432"/>
    <x v="335"/>
    <x v="373"/>
    <s v="L-L-1"/>
    <x v="3"/>
    <x v="1"/>
    <x v="0"/>
    <s v="Neely Broadberrie"/>
    <s v="Washington"/>
    <s v="United States"/>
    <x v="1"/>
    <x v="5"/>
    <n v="15.85"/>
    <x v="166"/>
  </r>
  <r>
    <s v="IDQ-20193-502"/>
    <x v="336"/>
    <x v="374"/>
    <s v="L-M-0.2"/>
    <x v="3"/>
    <x v="0"/>
    <x v="2"/>
    <s v="Rutger Pithcock"/>
    <s v="Knoxville"/>
    <s v="United States"/>
    <x v="0"/>
    <x v="0"/>
    <n v="4.3650000000000002"/>
    <x v="34"/>
  </r>
  <r>
    <s v="DJG-14442-608"/>
    <x v="337"/>
    <x v="375"/>
    <s v="R-D-1"/>
    <x v="0"/>
    <x v="2"/>
    <x v="0"/>
    <s v="Gale Croysdale"/>
    <s v="Charleston"/>
    <s v="United States"/>
    <x v="0"/>
    <x v="4"/>
    <n v="8.9499999999999993"/>
    <x v="167"/>
  </r>
  <r>
    <s v="DWB-61381-370"/>
    <x v="338"/>
    <x v="376"/>
    <s v="L-L-0.2"/>
    <x v="3"/>
    <x v="1"/>
    <x v="2"/>
    <s v="Benedetto Gozzett"/>
    <s v="Dallas"/>
    <s v="United States"/>
    <x v="1"/>
    <x v="0"/>
    <n v="4.7549999999999999"/>
    <x v="54"/>
  </r>
  <r>
    <s v="FRD-17347-990"/>
    <x v="81"/>
    <x v="377"/>
    <s v="A-D-1"/>
    <x v="2"/>
    <x v="2"/>
    <x v="0"/>
    <s v="Tania Craggs"/>
    <s v="Whitegate"/>
    <s v="Ireland"/>
    <x v="1"/>
    <x v="5"/>
    <n v="9.9499999999999993"/>
    <x v="16"/>
  </r>
  <r>
    <s v="YPP-27450-525"/>
    <x v="339"/>
    <x v="378"/>
    <s v="E-M-0.5"/>
    <x v="1"/>
    <x v="0"/>
    <x v="1"/>
    <s v="Leonie Cullrford"/>
    <s v="Chico"/>
    <s v="United States"/>
    <x v="0"/>
    <x v="4"/>
    <n v="8.25"/>
    <x v="168"/>
  </r>
  <r>
    <s v="EFC-39577-424"/>
    <x v="340"/>
    <x v="379"/>
    <s v="E-M-1"/>
    <x v="1"/>
    <x v="0"/>
    <x v="0"/>
    <s v="Auguste Rizon"/>
    <s v="Little Rock"/>
    <s v="United States"/>
    <x v="0"/>
    <x v="1"/>
    <n v="13.75"/>
    <x v="85"/>
  </r>
  <r>
    <s v="LAW-80062-016"/>
    <x v="341"/>
    <x v="380"/>
    <s v="E-M-0.5"/>
    <x v="1"/>
    <x v="0"/>
    <x v="1"/>
    <s v="Lorin Guerrazzi"/>
    <s v="Balrothery"/>
    <s v="Ireland"/>
    <x v="1"/>
    <x v="2"/>
    <n v="8.25"/>
    <x v="169"/>
  </r>
  <r>
    <s v="WKL-27981-758"/>
    <x v="177"/>
    <x v="381"/>
    <s v="A-M-2.5"/>
    <x v="2"/>
    <x v="0"/>
    <x v="3"/>
    <s v="Felice Miell"/>
    <s v="New Brunswick"/>
    <s v="United States"/>
    <x v="0"/>
    <x v="0"/>
    <n v="25.875"/>
    <x v="95"/>
  </r>
  <r>
    <s v="VRT-39834-265"/>
    <x v="342"/>
    <x v="382"/>
    <s v="L-L-1"/>
    <x v="3"/>
    <x v="1"/>
    <x v="0"/>
    <s v="Hamish Skeech"/>
    <s v="Valleymount"/>
    <s v="Ireland"/>
    <x v="0"/>
    <x v="4"/>
    <n v="15.85"/>
    <x v="46"/>
  </r>
  <r>
    <s v="QTC-71005-730"/>
    <x v="343"/>
    <x v="383"/>
    <s v="A-L-0.2"/>
    <x v="2"/>
    <x v="1"/>
    <x v="2"/>
    <s v="Giordano Lorenzin"/>
    <s v="San Francisco"/>
    <s v="United States"/>
    <x v="1"/>
    <x v="5"/>
    <n v="3.8849999999999998"/>
    <x v="42"/>
  </r>
  <r>
    <s v="TNX-09857-717"/>
    <x v="344"/>
    <x v="384"/>
    <s v="L-M-1"/>
    <x v="3"/>
    <x v="0"/>
    <x v="0"/>
    <s v="Harwilll Bishell"/>
    <s v="Lafayette"/>
    <s v="United States"/>
    <x v="0"/>
    <x v="2"/>
    <n v="14.55"/>
    <x v="75"/>
  </r>
  <r>
    <s v="JZV-43874-185"/>
    <x v="345"/>
    <x v="385"/>
    <s v="A-M-1"/>
    <x v="2"/>
    <x v="0"/>
    <x v="0"/>
    <s v="Freeland Missenden"/>
    <s v="San Diego"/>
    <s v="United States"/>
    <x v="0"/>
    <x v="1"/>
    <n v="11.25"/>
    <x v="126"/>
  </r>
  <r>
    <s v="ICF-17486-106"/>
    <x v="47"/>
    <x v="386"/>
    <s v="L-L-2.5"/>
    <x v="3"/>
    <x v="1"/>
    <x v="3"/>
    <s v="Waylan Springall"/>
    <s v="Alhambra"/>
    <s v="United States"/>
    <x v="0"/>
    <x v="3"/>
    <n v="36.454999999999998"/>
    <x v="133"/>
  </r>
  <r>
    <s v="BMK-49520-383"/>
    <x v="346"/>
    <x v="387"/>
    <s v="R-L-0.2"/>
    <x v="0"/>
    <x v="1"/>
    <x v="2"/>
    <s v="Kiri Avramow"/>
    <s v="Tyler"/>
    <s v="United States"/>
    <x v="0"/>
    <x v="4"/>
    <n v="3.585"/>
    <x v="127"/>
  </r>
  <r>
    <s v="HTS-15020-632"/>
    <x v="169"/>
    <x v="388"/>
    <s v="R-M-0.2"/>
    <x v="0"/>
    <x v="0"/>
    <x v="2"/>
    <s v="Gregg Hawkyens"/>
    <s v="Lafayette"/>
    <s v="United States"/>
    <x v="1"/>
    <x v="4"/>
    <n v="2.9849999999999999"/>
    <x v="170"/>
  </r>
  <r>
    <s v="YLE-18247-749"/>
    <x v="347"/>
    <x v="389"/>
    <s v="A-L-0.5"/>
    <x v="2"/>
    <x v="1"/>
    <x v="1"/>
    <s v="Reggis Pracy"/>
    <s v="Dayton"/>
    <s v="United States"/>
    <x v="0"/>
    <x v="4"/>
    <n v="7.77"/>
    <x v="102"/>
  </r>
  <r>
    <s v="KJJ-12573-591"/>
    <x v="348"/>
    <x v="390"/>
    <s v="A-L-2.5"/>
    <x v="2"/>
    <x v="1"/>
    <x v="3"/>
    <s v="Paula Denis"/>
    <s v="Phoenix"/>
    <s v="United States"/>
    <x v="0"/>
    <x v="3"/>
    <n v="29.785"/>
    <x v="91"/>
  </r>
  <r>
    <s v="RGU-43561-950"/>
    <x v="349"/>
    <x v="391"/>
    <s v="A-L-2.5"/>
    <x v="2"/>
    <x v="1"/>
    <x v="3"/>
    <s v="Broderick McGilvra"/>
    <s v="Sacramento"/>
    <s v="United States"/>
    <x v="0"/>
    <x v="1"/>
    <n v="29.785"/>
    <x v="74"/>
  </r>
  <r>
    <s v="JSN-73975-443"/>
    <x v="350"/>
    <x v="392"/>
    <s v="L-M-0.5"/>
    <x v="3"/>
    <x v="0"/>
    <x v="1"/>
    <s v="Annabella Danzey"/>
    <s v="Lincoln"/>
    <s v="United States"/>
    <x v="0"/>
    <x v="3"/>
    <n v="8.73"/>
    <x v="34"/>
  </r>
  <r>
    <s v="HNI-91338-546"/>
    <x v="54"/>
    <x v="393"/>
    <s v="A-D-0.5"/>
    <x v="2"/>
    <x v="2"/>
    <x v="1"/>
    <s v="Nevins Glowacz"/>
    <s v="Madison"/>
    <s v="United States"/>
    <x v="1"/>
    <x v="1"/>
    <n v="5.97"/>
    <x v="44"/>
  </r>
  <r>
    <s v="CYH-53243-218"/>
    <x v="237"/>
    <x v="394"/>
    <s v="R-M-0.5"/>
    <x v="0"/>
    <x v="0"/>
    <x v="1"/>
    <s v="Adelice Isabell"/>
    <s v="Charleston"/>
    <s v="United States"/>
    <x v="1"/>
    <x v="4"/>
    <n v="5.97"/>
    <x v="13"/>
  </r>
  <r>
    <s v="SVD-75407-177"/>
    <x v="351"/>
    <x v="395"/>
    <s v="E-L-0.5"/>
    <x v="1"/>
    <x v="1"/>
    <x v="1"/>
    <s v="Yulma Dombrell"/>
    <s v="Little Rock"/>
    <s v="United States"/>
    <x v="0"/>
    <x v="4"/>
    <n v="8.91"/>
    <x v="149"/>
  </r>
  <r>
    <s v="NVN-66443-451"/>
    <x v="352"/>
    <x v="396"/>
    <s v="R-D-1"/>
    <x v="0"/>
    <x v="2"/>
    <x v="0"/>
    <s v="Alric Darth"/>
    <s v="Anchorage"/>
    <s v="United States"/>
    <x v="1"/>
    <x v="0"/>
    <n v="8.9499999999999993"/>
    <x v="105"/>
  </r>
  <r>
    <s v="JUA-13580-095"/>
    <x v="103"/>
    <x v="397"/>
    <s v="R-L-0.2"/>
    <x v="0"/>
    <x v="1"/>
    <x v="2"/>
    <s v="Manuel Darrigoe"/>
    <s v="Longwood"/>
    <s v="Ireland"/>
    <x v="0"/>
    <x v="5"/>
    <n v="3.585"/>
    <x v="79"/>
  </r>
  <r>
    <s v="ACY-56225-839"/>
    <x v="353"/>
    <x v="398"/>
    <s v="A-M-2.5"/>
    <x v="2"/>
    <x v="0"/>
    <x v="3"/>
    <s v="Kynthia Berick"/>
    <s v="San Francisco"/>
    <s v="United States"/>
    <x v="0"/>
    <x v="4"/>
    <n v="25.875"/>
    <x v="57"/>
  </r>
  <r>
    <s v="QBB-07903-622"/>
    <x v="354"/>
    <x v="399"/>
    <s v="R-L-1"/>
    <x v="0"/>
    <x v="1"/>
    <x v="0"/>
    <s v="Minetta Ackrill"/>
    <s v="Warren"/>
    <s v="United States"/>
    <x v="1"/>
    <x v="1"/>
    <n v="11.95"/>
    <x v="143"/>
  </r>
  <r>
    <s v="HFT-77191-168"/>
    <x v="344"/>
    <x v="400"/>
    <s v="R-D-0.2"/>
    <x v="0"/>
    <x v="2"/>
    <x v="2"/>
    <s v="Melosa Kippen"/>
    <s v="Jackson"/>
    <s v="United States"/>
    <x v="0"/>
    <x v="0"/>
    <n v="2.6850000000000001"/>
    <x v="147"/>
  </r>
  <r>
    <s v="SZR-35951-530"/>
    <x v="90"/>
    <x v="401"/>
    <s v="E-D-2.5"/>
    <x v="1"/>
    <x v="2"/>
    <x v="3"/>
    <s v="Witty Ranson"/>
    <s v="Kildare"/>
    <s v="Ireland"/>
    <x v="0"/>
    <x v="4"/>
    <n v="27.945"/>
    <x v="171"/>
  </r>
  <r>
    <s v="IKL-95976-565"/>
    <x v="355"/>
    <x v="402"/>
    <s v="A-M-1"/>
    <x v="2"/>
    <x v="0"/>
    <x v="0"/>
    <s v="Rod Gowdie"/>
    <s v="Milwaukee"/>
    <s v="United States"/>
    <x v="1"/>
    <x v="0"/>
    <n v="11.25"/>
    <x v="122"/>
  </r>
  <r>
    <s v="XEY-48929-474"/>
    <x v="205"/>
    <x v="403"/>
    <s v="L-M-2.5"/>
    <x v="3"/>
    <x v="0"/>
    <x v="3"/>
    <s v="Lemuel Rignold"/>
    <s v="Sacramento"/>
    <s v="United States"/>
    <x v="0"/>
    <x v="2"/>
    <n v="33.465000000000003"/>
    <x v="172"/>
  </r>
  <r>
    <s v="SQT-07286-736"/>
    <x v="356"/>
    <x v="404"/>
    <s v="A-M-1"/>
    <x v="2"/>
    <x v="0"/>
    <x v="0"/>
    <s v="Nevsa Fields"/>
    <s v="Boston"/>
    <s v="United States"/>
    <x v="1"/>
    <x v="2"/>
    <n v="11.25"/>
    <x v="173"/>
  </r>
  <r>
    <s v="QDU-45390-361"/>
    <x v="357"/>
    <x v="405"/>
    <s v="E-M-0.5"/>
    <x v="1"/>
    <x v="0"/>
    <x v="1"/>
    <s v="Chance Rowthorn"/>
    <s v="Topeka"/>
    <s v="United States"/>
    <x v="1"/>
    <x v="3"/>
    <n v="8.25"/>
    <x v="112"/>
  </r>
  <r>
    <s v="RUJ-30649-712"/>
    <x v="301"/>
    <x v="406"/>
    <s v="L-L-0.2"/>
    <x v="3"/>
    <x v="1"/>
    <x v="2"/>
    <s v="Orly Ryland"/>
    <s v="Fargo"/>
    <s v="United States"/>
    <x v="0"/>
    <x v="0"/>
    <n v="4.7549999999999999"/>
    <x v="54"/>
  </r>
  <r>
    <s v="WSV-49732-075"/>
    <x v="358"/>
    <x v="407"/>
    <s v="L-D-2.5"/>
    <x v="3"/>
    <x v="2"/>
    <x v="3"/>
    <s v="Willabella Abramski"/>
    <s v="Houston"/>
    <s v="United States"/>
    <x v="1"/>
    <x v="3"/>
    <n v="29.785"/>
    <x v="91"/>
  </r>
  <r>
    <s v="VJF-46305-323"/>
    <x v="161"/>
    <x v="408"/>
    <s v="L-D-0.5"/>
    <x v="3"/>
    <x v="2"/>
    <x v="1"/>
    <s v="Morgen Seson"/>
    <s v="Seattle"/>
    <s v="United States"/>
    <x v="1"/>
    <x v="0"/>
    <n v="7.77"/>
    <x v="42"/>
  </r>
  <r>
    <s v="GUU-40666-525"/>
    <x v="2"/>
    <x v="408"/>
    <s v="A-L-0.2"/>
    <x v="2"/>
    <x v="1"/>
    <x v="2"/>
    <s v="Morgen Seson"/>
    <s v="Seattle"/>
    <s v="United States"/>
    <x v="1"/>
    <x v="4"/>
    <n v="3.8849999999999998"/>
    <x v="22"/>
  </r>
  <r>
    <s v="CXD-74176-600"/>
    <x v="129"/>
    <x v="409"/>
    <s v="E-L-0.5"/>
    <x v="1"/>
    <x v="1"/>
    <x v="1"/>
    <s v="Chickie Ragless"/>
    <s v="Caherconlish"/>
    <s v="Ireland"/>
    <x v="1"/>
    <x v="5"/>
    <n v="8.91"/>
    <x v="70"/>
  </r>
  <r>
    <s v="ADX-50674-975"/>
    <x v="359"/>
    <x v="410"/>
    <s v="A-M-2.5"/>
    <x v="2"/>
    <x v="0"/>
    <x v="3"/>
    <s v="Freda Hollows"/>
    <s v="Buffalo"/>
    <s v="United States"/>
    <x v="0"/>
    <x v="5"/>
    <n v="25.875"/>
    <x v="68"/>
  </r>
  <r>
    <s v="RRP-51647-420"/>
    <x v="360"/>
    <x v="411"/>
    <s v="E-D-1"/>
    <x v="1"/>
    <x v="2"/>
    <x v="0"/>
    <s v="Livy Lathleiff"/>
    <s v="Shankill"/>
    <s v="Ireland"/>
    <x v="0"/>
    <x v="4"/>
    <n v="12.15"/>
    <x v="114"/>
  </r>
  <r>
    <s v="PKJ-99134-523"/>
    <x v="361"/>
    <x v="412"/>
    <s v="R-L-0.5"/>
    <x v="0"/>
    <x v="1"/>
    <x v="1"/>
    <s v="Koralle Heads"/>
    <s v="Bethlehem"/>
    <s v="United States"/>
    <x v="1"/>
    <x v="1"/>
    <n v="7.17"/>
    <x v="174"/>
  </r>
  <r>
    <s v="FZQ-29439-457"/>
    <x v="362"/>
    <x v="413"/>
    <s v="E-L-0.2"/>
    <x v="1"/>
    <x v="1"/>
    <x v="2"/>
    <s v="Theo Bowne"/>
    <s v="Watergrasshill"/>
    <s v="Ireland"/>
    <x v="0"/>
    <x v="1"/>
    <n v="4.4550000000000001"/>
    <x v="110"/>
  </r>
  <r>
    <s v="USN-68115-161"/>
    <x v="363"/>
    <x v="414"/>
    <s v="E-M-0.2"/>
    <x v="1"/>
    <x v="0"/>
    <x v="2"/>
    <s v="Rasia Jacquemard"/>
    <s v="Monasterevin"/>
    <s v="Ireland"/>
    <x v="1"/>
    <x v="2"/>
    <n v="4.125"/>
    <x v="168"/>
  </r>
  <r>
    <s v="IXU-20263-532"/>
    <x v="364"/>
    <x v="415"/>
    <s v="L-M-2.5"/>
    <x v="3"/>
    <x v="0"/>
    <x v="3"/>
    <s v="Kizzie Warman"/>
    <s v="Sandyford"/>
    <s v="Ireland"/>
    <x v="0"/>
    <x v="0"/>
    <n v="33.465000000000003"/>
    <x v="175"/>
  </r>
  <r>
    <s v="CBT-15092-420"/>
    <x v="86"/>
    <x v="416"/>
    <s v="L-M-0.5"/>
    <x v="3"/>
    <x v="0"/>
    <x v="1"/>
    <s v="Wain Cholomin"/>
    <s v="Birmingham"/>
    <s v="United Kingdom"/>
    <x v="0"/>
    <x v="3"/>
    <n v="8.73"/>
    <x v="34"/>
  </r>
  <r>
    <s v="PKQ-46841-696"/>
    <x v="365"/>
    <x v="417"/>
    <s v="R-M-0.5"/>
    <x v="0"/>
    <x v="0"/>
    <x v="1"/>
    <s v="Arleen Braidman"/>
    <s v="Phoenix"/>
    <s v="United States"/>
    <x v="1"/>
    <x v="4"/>
    <n v="5.97"/>
    <x v="13"/>
  </r>
  <r>
    <s v="XDU-05471-219"/>
    <x v="366"/>
    <x v="418"/>
    <s v="R-L-0.5"/>
    <x v="0"/>
    <x v="1"/>
    <x v="1"/>
    <s v="Pru Durban"/>
    <s v="Longford"/>
    <s v="Ireland"/>
    <x v="1"/>
    <x v="3"/>
    <n v="7.17"/>
    <x v="53"/>
  </r>
  <r>
    <s v="NID-20149-329"/>
    <x v="367"/>
    <x v="419"/>
    <s v="R-D-0.2"/>
    <x v="0"/>
    <x v="2"/>
    <x v="2"/>
    <s v="Antone Harrold"/>
    <s v="Toledo"/>
    <s v="United States"/>
    <x v="1"/>
    <x v="0"/>
    <n v="2.6850000000000001"/>
    <x v="147"/>
  </r>
  <r>
    <s v="SVU-27222-213"/>
    <x v="142"/>
    <x v="420"/>
    <s v="L-L-0.2"/>
    <x v="3"/>
    <x v="1"/>
    <x v="2"/>
    <s v="Sim Pamphilon"/>
    <s v="Ballylinan"/>
    <s v="Ireland"/>
    <x v="1"/>
    <x v="1"/>
    <n v="4.7549999999999999"/>
    <x v="25"/>
  </r>
  <r>
    <s v="RWI-84131-848"/>
    <x v="368"/>
    <x v="421"/>
    <s v="R-D-2.5"/>
    <x v="0"/>
    <x v="2"/>
    <x v="3"/>
    <s v="Mohandis Spurden"/>
    <s v="Charlotte"/>
    <s v="United States"/>
    <x v="0"/>
    <x v="0"/>
    <n v="20.585000000000001"/>
    <x v="20"/>
  </r>
  <r>
    <s v="SCN-51395-066"/>
    <x v="369"/>
    <x v="422"/>
    <s v="L-L-0.5"/>
    <x v="3"/>
    <x v="1"/>
    <x v="1"/>
    <s v="Nalani Pirrone"/>
    <s v="Wilkes Barre"/>
    <s v="United States"/>
    <x v="1"/>
    <x v="5"/>
    <n v="9.51"/>
    <x v="82"/>
  </r>
  <r>
    <s v="ULA-24644-321"/>
    <x v="370"/>
    <x v="423"/>
    <s v="R-D-2.5"/>
    <x v="0"/>
    <x v="2"/>
    <x v="3"/>
    <s v="Reube Cawley"/>
    <s v="Ballyboden"/>
    <s v="Ireland"/>
    <x v="0"/>
    <x v="5"/>
    <n v="20.585000000000001"/>
    <x v="26"/>
  </r>
  <r>
    <s v="EOL-92666-762"/>
    <x v="371"/>
    <x v="424"/>
    <s v="L-L-0.2"/>
    <x v="3"/>
    <x v="1"/>
    <x v="2"/>
    <s v="Stan Barribal"/>
    <s v="Bagenalstown"/>
    <s v="Ireland"/>
    <x v="0"/>
    <x v="0"/>
    <n v="4.7549999999999999"/>
    <x v="54"/>
  </r>
  <r>
    <s v="AJV-18231-334"/>
    <x v="372"/>
    <x v="425"/>
    <s v="R-D-2.5"/>
    <x v="0"/>
    <x v="2"/>
    <x v="3"/>
    <s v="Agnes Adamides"/>
    <s v="Liverpool"/>
    <s v="United Kingdom"/>
    <x v="1"/>
    <x v="0"/>
    <n v="20.585000000000001"/>
    <x v="20"/>
  </r>
  <r>
    <s v="ZQI-47236-301"/>
    <x v="373"/>
    <x v="426"/>
    <s v="L-L-0.5"/>
    <x v="3"/>
    <x v="1"/>
    <x v="1"/>
    <s v="Carmelita Thowes"/>
    <s v="Rochester"/>
    <s v="United States"/>
    <x v="1"/>
    <x v="1"/>
    <n v="9.51"/>
    <x v="46"/>
  </r>
  <r>
    <s v="ZCR-15721-658"/>
    <x v="374"/>
    <x v="427"/>
    <s v="A-M-1"/>
    <x v="2"/>
    <x v="0"/>
    <x v="0"/>
    <s v="Rodolfo Willoway"/>
    <s v="Tucson"/>
    <s v="United States"/>
    <x v="1"/>
    <x v="5"/>
    <n v="11.25"/>
    <x v="158"/>
  </r>
  <r>
    <s v="QEW-47945-682"/>
    <x v="320"/>
    <x v="428"/>
    <s v="L-L-0.2"/>
    <x v="3"/>
    <x v="1"/>
    <x v="2"/>
    <s v="Alvis Elwin"/>
    <s v="Minneapolis"/>
    <s v="United States"/>
    <x v="1"/>
    <x v="1"/>
    <n v="4.7549999999999999"/>
    <x v="25"/>
  </r>
  <r>
    <s v="PSY-45485-542"/>
    <x v="375"/>
    <x v="429"/>
    <s v="R-D-0.5"/>
    <x v="0"/>
    <x v="2"/>
    <x v="1"/>
    <s v="Araldo Bilbrook"/>
    <s v="Ashbourne"/>
    <s v="Ireland"/>
    <x v="0"/>
    <x v="4"/>
    <n v="5.37"/>
    <x v="103"/>
  </r>
  <r>
    <s v="BAQ-74241-156"/>
    <x v="376"/>
    <x v="430"/>
    <s v="R-D-0.2"/>
    <x v="0"/>
    <x v="2"/>
    <x v="2"/>
    <s v="Ransell McKall"/>
    <s v="Bristol"/>
    <s v="United Kingdom"/>
    <x v="0"/>
    <x v="5"/>
    <n v="2.6850000000000001"/>
    <x v="176"/>
  </r>
  <r>
    <s v="BVU-77367-451"/>
    <x v="377"/>
    <x v="431"/>
    <s v="A-D-1"/>
    <x v="2"/>
    <x v="2"/>
    <x v="0"/>
    <s v="Borg Daile"/>
    <s v="Atlanta"/>
    <s v="United States"/>
    <x v="0"/>
    <x v="1"/>
    <n v="9.9499999999999993"/>
    <x v="2"/>
  </r>
  <r>
    <s v="TJE-91516-344"/>
    <x v="378"/>
    <x v="432"/>
    <s v="E-M-1"/>
    <x v="1"/>
    <x v="0"/>
    <x v="0"/>
    <s v="Adolphe Treherne"/>
    <s v="Farranacoush"/>
    <s v="Ireland"/>
    <x v="1"/>
    <x v="0"/>
    <n v="13.75"/>
    <x v="6"/>
  </r>
  <r>
    <s v="LIS-96202-702"/>
    <x v="280"/>
    <x v="433"/>
    <s v="L-D-2.5"/>
    <x v="3"/>
    <x v="2"/>
    <x v="3"/>
    <s v="Annetta Brentnall"/>
    <s v="East End"/>
    <s v="United Kingdom"/>
    <x v="1"/>
    <x v="5"/>
    <n v="29.785"/>
    <x v="129"/>
  </r>
  <r>
    <s v="VIO-27668-766"/>
    <x v="379"/>
    <x v="434"/>
    <s v="R-D-2.5"/>
    <x v="0"/>
    <x v="2"/>
    <x v="3"/>
    <s v="Dick Drinkall"/>
    <s v="Knoxville"/>
    <s v="United States"/>
    <x v="0"/>
    <x v="3"/>
    <n v="20.585000000000001"/>
    <x v="123"/>
  </r>
  <r>
    <s v="ZVG-20473-043"/>
    <x v="87"/>
    <x v="435"/>
    <s v="A-D-0.2"/>
    <x v="2"/>
    <x v="2"/>
    <x v="2"/>
    <s v="Dagny Kornel"/>
    <s v="Saginaw"/>
    <s v="United States"/>
    <x v="0"/>
    <x v="4"/>
    <n v="2.9849999999999999"/>
    <x v="170"/>
  </r>
  <r>
    <s v="KGZ-56395-231"/>
    <x v="380"/>
    <x v="436"/>
    <s v="A-D-0.5"/>
    <x v="2"/>
    <x v="2"/>
    <x v="1"/>
    <s v="Rhona Lequeux"/>
    <s v="Saint Augustine"/>
    <s v="United States"/>
    <x v="1"/>
    <x v="3"/>
    <n v="5.97"/>
    <x v="14"/>
  </r>
  <r>
    <s v="CUU-92244-729"/>
    <x v="381"/>
    <x v="437"/>
    <s v="E-M-1"/>
    <x v="1"/>
    <x v="0"/>
    <x v="0"/>
    <s v="Julius Mccaull"/>
    <s v="San Rafael"/>
    <s v="United States"/>
    <x v="0"/>
    <x v="4"/>
    <n v="13.75"/>
    <x v="1"/>
  </r>
  <r>
    <s v="EHE-94714-312"/>
    <x v="382"/>
    <x v="438"/>
    <s v="E-L-0.2"/>
    <x v="1"/>
    <x v="1"/>
    <x v="2"/>
    <s v="Ailey Brash"/>
    <s v="Flushing"/>
    <s v="United States"/>
    <x v="0"/>
    <x v="1"/>
    <n v="4.4550000000000001"/>
    <x v="110"/>
  </r>
  <r>
    <s v="ZPW-31329-741"/>
    <x v="383"/>
    <x v="438"/>
    <s v="R-D-1"/>
    <x v="0"/>
    <x v="2"/>
    <x v="0"/>
    <s v="Ailey Brash"/>
    <s v="Flushing"/>
    <s v="United States"/>
    <x v="0"/>
    <x v="2"/>
    <n v="8.9499999999999993"/>
    <x v="59"/>
  </r>
  <r>
    <s v="ZPW-31329-741"/>
    <x v="383"/>
    <x v="438"/>
    <s v="E-M-2.5"/>
    <x v="1"/>
    <x v="0"/>
    <x v="3"/>
    <s v="Ailey Brash"/>
    <s v="Flushing"/>
    <s v="United States"/>
    <x v="0"/>
    <x v="5"/>
    <n v="31.625"/>
    <x v="177"/>
  </r>
  <r>
    <s v="ZPW-31329-741"/>
    <x v="383"/>
    <x v="438"/>
    <s v="E-M-0.2"/>
    <x v="1"/>
    <x v="0"/>
    <x v="2"/>
    <s v="Ailey Brash"/>
    <s v="Flushing"/>
    <s v="United States"/>
    <x v="0"/>
    <x v="3"/>
    <n v="4.125"/>
    <x v="83"/>
  </r>
  <r>
    <s v="RTL-16205-161"/>
    <x v="19"/>
    <x v="439"/>
    <s v="A-M-0.5"/>
    <x v="2"/>
    <x v="0"/>
    <x v="1"/>
    <s v="Alberto Hutchinson"/>
    <s v="Lawrenceville"/>
    <s v="United States"/>
    <x v="0"/>
    <x v="3"/>
    <n v="6.75"/>
    <x v="52"/>
  </r>
  <r>
    <s v="GTS-22482-014"/>
    <x v="167"/>
    <x v="440"/>
    <s v="L-M-2.5"/>
    <x v="3"/>
    <x v="0"/>
    <x v="3"/>
    <s v="Lamond Gheeraert"/>
    <s v="Topeka"/>
    <s v="United States"/>
    <x v="0"/>
    <x v="5"/>
    <n v="33.465000000000003"/>
    <x v="136"/>
  </r>
  <r>
    <s v="DYG-25473-881"/>
    <x v="384"/>
    <x v="441"/>
    <s v="A-D-0.2"/>
    <x v="2"/>
    <x v="2"/>
    <x v="2"/>
    <s v="Roxine Drivers"/>
    <s v="Shawnee Mission"/>
    <s v="United States"/>
    <x v="1"/>
    <x v="0"/>
    <n v="2.9849999999999999"/>
    <x v="14"/>
  </r>
  <r>
    <s v="HTR-21838-286"/>
    <x v="24"/>
    <x v="442"/>
    <s v="A-L-1"/>
    <x v="2"/>
    <x v="1"/>
    <x v="0"/>
    <s v="Heloise Zeal"/>
    <s v="Seattle"/>
    <s v="United States"/>
    <x v="1"/>
    <x v="0"/>
    <n v="12.95"/>
    <x v="109"/>
  </r>
  <r>
    <s v="KYG-28296-920"/>
    <x v="85"/>
    <x v="443"/>
    <s v="E-M-2.5"/>
    <x v="1"/>
    <x v="0"/>
    <x v="3"/>
    <s v="Granger Smallcombe"/>
    <s v="Kilkenny"/>
    <s v="Ireland"/>
    <x v="0"/>
    <x v="3"/>
    <n v="31.625"/>
    <x v="178"/>
  </r>
  <r>
    <s v="NNB-20459-430"/>
    <x v="385"/>
    <x v="444"/>
    <s v="L-M-0.2"/>
    <x v="3"/>
    <x v="0"/>
    <x v="2"/>
    <s v="Daryn Dibley"/>
    <s v="Kissimmee"/>
    <s v="United States"/>
    <x v="1"/>
    <x v="0"/>
    <n v="4.3650000000000002"/>
    <x v="34"/>
  </r>
  <r>
    <s v="FEK-14025-351"/>
    <x v="386"/>
    <x v="445"/>
    <s v="E-L-0.2"/>
    <x v="1"/>
    <x v="1"/>
    <x v="2"/>
    <s v="Gardy Dimitriou"/>
    <s v="Rochester"/>
    <s v="United States"/>
    <x v="0"/>
    <x v="2"/>
    <n v="4.4550000000000001"/>
    <x v="149"/>
  </r>
  <r>
    <s v="AWH-16980-469"/>
    <x v="387"/>
    <x v="446"/>
    <s v="L-M-0.2"/>
    <x v="3"/>
    <x v="0"/>
    <x v="2"/>
    <s v="Fanny Flanagan"/>
    <s v="Tyler"/>
    <s v="United States"/>
    <x v="1"/>
    <x v="2"/>
    <n v="4.3650000000000002"/>
    <x v="50"/>
  </r>
  <r>
    <s v="UBI-83843-396"/>
    <x v="388"/>
    <x v="447"/>
    <s v="R-L-1"/>
    <x v="0"/>
    <x v="1"/>
    <x v="0"/>
    <s v="Nanny Izhakov"/>
    <s v="Seaton"/>
    <s v="United Kingdom"/>
    <x v="1"/>
    <x v="0"/>
    <n v="11.95"/>
    <x v="179"/>
  </r>
  <r>
    <s v="VID-40587-569"/>
    <x v="389"/>
    <x v="448"/>
    <s v="E-D-2.5"/>
    <x v="1"/>
    <x v="2"/>
    <x v="3"/>
    <s v="Stanly Keets"/>
    <s v="Alexandria"/>
    <s v="United States"/>
    <x v="0"/>
    <x v="1"/>
    <n v="27.945"/>
    <x v="141"/>
  </r>
  <r>
    <s v="KBB-52530-416"/>
    <x v="180"/>
    <x v="449"/>
    <s v="L-D-2.5"/>
    <x v="3"/>
    <x v="2"/>
    <x v="3"/>
    <s v="Orion Dyott"/>
    <s v="Salt Lake City"/>
    <s v="United States"/>
    <x v="0"/>
    <x v="0"/>
    <n v="29.785"/>
    <x v="120"/>
  </r>
  <r>
    <s v="ISJ-48676-420"/>
    <x v="390"/>
    <x v="450"/>
    <s v="L-L-0.5"/>
    <x v="3"/>
    <x v="1"/>
    <x v="1"/>
    <s v="Keefer Cake"/>
    <s v="San Jose"/>
    <s v="United States"/>
    <x v="1"/>
    <x v="2"/>
    <n v="9.51"/>
    <x v="33"/>
  </r>
  <r>
    <s v="MIF-17920-768"/>
    <x v="391"/>
    <x v="451"/>
    <s v="R-L-0.2"/>
    <x v="0"/>
    <x v="1"/>
    <x v="2"/>
    <s v="Morna Hansed"/>
    <s v="Tr谩 Mh贸r"/>
    <s v="Ireland"/>
    <x v="0"/>
    <x v="2"/>
    <n v="3.585"/>
    <x v="137"/>
  </r>
  <r>
    <s v="CPX-19312-088"/>
    <x v="118"/>
    <x v="452"/>
    <s v="L-M-0.5"/>
    <x v="3"/>
    <x v="0"/>
    <x v="1"/>
    <s v="Franny Kienlein"/>
    <s v="Coolock"/>
    <s v="Ireland"/>
    <x v="0"/>
    <x v="2"/>
    <n v="8.73"/>
    <x v="31"/>
  </r>
  <r>
    <s v="RXI-67978-260"/>
    <x v="392"/>
    <x v="453"/>
    <s v="E-D-1"/>
    <x v="1"/>
    <x v="2"/>
    <x v="0"/>
    <s v="Klarika Egglestone"/>
    <s v="Coolock"/>
    <s v="Ireland"/>
    <x v="1"/>
    <x v="2"/>
    <n v="12.15"/>
    <x v="118"/>
  </r>
  <r>
    <s v="LKE-14821-285"/>
    <x v="393"/>
    <x v="454"/>
    <s v="R-M-0.2"/>
    <x v="0"/>
    <x v="0"/>
    <x v="2"/>
    <s v="Becky Semkins"/>
    <s v="Kinnegad"/>
    <s v="Ireland"/>
    <x v="0"/>
    <x v="1"/>
    <n v="2.9849999999999999"/>
    <x v="128"/>
  </r>
  <r>
    <s v="LRK-97117-150"/>
    <x v="394"/>
    <x v="455"/>
    <s v="L-L-1"/>
    <x v="3"/>
    <x v="1"/>
    <x v="0"/>
    <s v="Sean Lorenzetti"/>
    <s v="El Paso"/>
    <s v="United States"/>
    <x v="1"/>
    <x v="2"/>
    <n v="15.85"/>
    <x v="180"/>
  </r>
  <r>
    <s v="IGK-51227-573"/>
    <x v="137"/>
    <x v="456"/>
    <s v="L-D-0.5"/>
    <x v="3"/>
    <x v="2"/>
    <x v="1"/>
    <s v="Bob Giannazzi"/>
    <s v="Fort Lauderdale"/>
    <s v="United States"/>
    <x v="1"/>
    <x v="0"/>
    <n v="7.77"/>
    <x v="42"/>
  </r>
  <r>
    <s v="ZAY-43009-775"/>
    <x v="395"/>
    <x v="457"/>
    <s v="L-D-0.2"/>
    <x v="3"/>
    <x v="2"/>
    <x v="2"/>
    <s v="Kendra Backshell"/>
    <s v="Indianapolis"/>
    <s v="United States"/>
    <x v="1"/>
    <x v="2"/>
    <n v="3.8849999999999998"/>
    <x v="102"/>
  </r>
  <r>
    <s v="EMA-63190-618"/>
    <x v="396"/>
    <x v="458"/>
    <s v="E-M-0.2"/>
    <x v="1"/>
    <x v="0"/>
    <x v="2"/>
    <s v="Uriah Lethbrig"/>
    <s v="Milwaukee"/>
    <s v="United States"/>
    <x v="0"/>
    <x v="3"/>
    <n v="4.125"/>
    <x v="83"/>
  </r>
  <r>
    <s v="FBI-35855-418"/>
    <x v="190"/>
    <x v="459"/>
    <s v="R-M-0.5"/>
    <x v="0"/>
    <x v="0"/>
    <x v="1"/>
    <s v="Sky Farnish"/>
    <s v="Eaton"/>
    <s v="United Kingdom"/>
    <x v="1"/>
    <x v="2"/>
    <n v="5.97"/>
    <x v="29"/>
  </r>
  <r>
    <s v="TXB-80533-417"/>
    <x v="15"/>
    <x v="460"/>
    <s v="L-L-1"/>
    <x v="3"/>
    <x v="1"/>
    <x v="0"/>
    <s v="Felicia Jecock"/>
    <s v="Baton Rouge"/>
    <s v="United States"/>
    <x v="1"/>
    <x v="0"/>
    <n v="15.85"/>
    <x v="124"/>
  </r>
  <r>
    <s v="MBM-00112-248"/>
    <x v="397"/>
    <x v="461"/>
    <s v="L-L-1"/>
    <x v="3"/>
    <x v="1"/>
    <x v="0"/>
    <s v="Currey MacAllister"/>
    <s v="Danbury"/>
    <s v="United States"/>
    <x v="0"/>
    <x v="1"/>
    <n v="15.85"/>
    <x v="181"/>
  </r>
  <r>
    <s v="EUO-69145-988"/>
    <x v="398"/>
    <x v="462"/>
    <s v="E-D-0.2"/>
    <x v="1"/>
    <x v="2"/>
    <x v="2"/>
    <s v="Hamlen Pallister"/>
    <s v="Pensacola"/>
    <s v="United States"/>
    <x v="1"/>
    <x v="4"/>
    <n v="3.645"/>
    <x v="47"/>
  </r>
  <r>
    <s v="GYA-80327-368"/>
    <x v="399"/>
    <x v="463"/>
    <s v="A-D-1"/>
    <x v="2"/>
    <x v="2"/>
    <x v="0"/>
    <s v="Chantal Mersh"/>
    <s v="Milltown"/>
    <s v="Ireland"/>
    <x v="1"/>
    <x v="5"/>
    <n v="9.9499999999999993"/>
    <x v="16"/>
  </r>
  <r>
    <s v="TNW-41601-420"/>
    <x v="400"/>
    <x v="464"/>
    <s v="R-M-1"/>
    <x v="0"/>
    <x v="0"/>
    <x v="0"/>
    <s v="Marja Urion"/>
    <s v="Virginia"/>
    <s v="Ireland"/>
    <x v="0"/>
    <x v="1"/>
    <n v="9.9499999999999993"/>
    <x v="2"/>
  </r>
  <r>
    <s v="WVT-88135-549"/>
    <x v="401"/>
    <x v="464"/>
    <s v="A-D-1"/>
    <x v="2"/>
    <x v="2"/>
    <x v="0"/>
    <s v="Marja Urion"/>
    <s v="Virginia"/>
    <s v="Ireland"/>
    <x v="0"/>
    <x v="4"/>
    <n v="9.9499999999999993"/>
    <x v="44"/>
  </r>
  <r>
    <s v="ZIL-34948-499"/>
    <x v="113"/>
    <x v="464"/>
    <s v="A-D-0.5"/>
    <x v="2"/>
    <x v="2"/>
    <x v="1"/>
    <s v="Marja Urion"/>
    <s v="Virginia"/>
    <s v="Ireland"/>
    <x v="0"/>
    <x v="0"/>
    <n v="5.97"/>
    <x v="27"/>
  </r>
  <r>
    <s v="CPV-90280-133"/>
    <x v="12"/>
    <x v="464"/>
    <s v="R-D-0.2"/>
    <x v="0"/>
    <x v="2"/>
    <x v="2"/>
    <s v="Marja Urion"/>
    <s v="Virginia"/>
    <s v="Ireland"/>
    <x v="0"/>
    <x v="4"/>
    <n v="2.6850000000000001"/>
    <x v="37"/>
  </r>
  <r>
    <s v="XQJ-86887-506"/>
    <x v="402"/>
    <x v="464"/>
    <s v="E-L-1"/>
    <x v="1"/>
    <x v="1"/>
    <x v="0"/>
    <s v="Marja Urion"/>
    <s v="Virginia"/>
    <s v="Ireland"/>
    <x v="0"/>
    <x v="5"/>
    <n v="14.85"/>
    <x v="48"/>
  </r>
  <r>
    <s v="ALR-62963-723"/>
    <x v="403"/>
    <x v="465"/>
    <s v="R-D-0.2"/>
    <x v="0"/>
    <x v="2"/>
    <x v="2"/>
    <s v="Malynda Purbrick"/>
    <s v="Balally"/>
    <s v="Ireland"/>
    <x v="0"/>
    <x v="4"/>
    <n v="2.6850000000000001"/>
    <x v="37"/>
  </r>
  <r>
    <s v="JIG-27636-870"/>
    <x v="404"/>
    <x v="466"/>
    <s v="R-L-1"/>
    <x v="0"/>
    <x v="1"/>
    <x v="0"/>
    <s v="Alf Housaman"/>
    <s v="Grand Rapids"/>
    <s v="United States"/>
    <x v="1"/>
    <x v="5"/>
    <n v="11.95"/>
    <x v="62"/>
  </r>
  <r>
    <s v="CTE-31437-326"/>
    <x v="11"/>
    <x v="467"/>
    <s v="R-M-0.2"/>
    <x v="0"/>
    <x v="0"/>
    <x v="2"/>
    <s v="Gladi Ducker"/>
    <s v="Belfast"/>
    <s v="United Kingdom"/>
    <x v="1"/>
    <x v="5"/>
    <n v="2.9849999999999999"/>
    <x v="27"/>
  </r>
  <r>
    <s v="CTE-31437-326"/>
    <x v="11"/>
    <x v="467"/>
    <s v="E-M-0.2"/>
    <x v="1"/>
    <x v="0"/>
    <x v="2"/>
    <s v="Gladi Ducker"/>
    <s v="Belfast"/>
    <s v="United Kingdom"/>
    <x v="1"/>
    <x v="5"/>
    <n v="4.125"/>
    <x v="8"/>
  </r>
  <r>
    <s v="CTE-31437-326"/>
    <x v="11"/>
    <x v="467"/>
    <s v="L-D-1"/>
    <x v="3"/>
    <x v="2"/>
    <x v="0"/>
    <s v="Gladi Ducker"/>
    <s v="Belfast"/>
    <s v="United Kingdom"/>
    <x v="1"/>
    <x v="5"/>
    <n v="12.95"/>
    <x v="67"/>
  </r>
  <r>
    <s v="CTE-31437-326"/>
    <x v="11"/>
    <x v="467"/>
    <s v="L-L-0.2"/>
    <x v="3"/>
    <x v="1"/>
    <x v="2"/>
    <s v="Gladi Ducker"/>
    <s v="Belfast"/>
    <s v="United Kingdom"/>
    <x v="1"/>
    <x v="4"/>
    <n v="4.7549999999999999"/>
    <x v="182"/>
  </r>
  <r>
    <s v="SLD-63003-334"/>
    <x v="405"/>
    <x v="468"/>
    <s v="L-M-0.2"/>
    <x v="3"/>
    <x v="0"/>
    <x v="2"/>
    <s v="Wain Stearley"/>
    <s v="High Point"/>
    <s v="United States"/>
    <x v="1"/>
    <x v="2"/>
    <n v="4.3650000000000002"/>
    <x v="50"/>
  </r>
  <r>
    <s v="BXN-64230-789"/>
    <x v="406"/>
    <x v="469"/>
    <s v="A-L-1"/>
    <x v="2"/>
    <x v="1"/>
    <x v="0"/>
    <s v="Diane-marie Wincer"/>
    <s v="El Paso"/>
    <s v="United States"/>
    <x v="0"/>
    <x v="0"/>
    <n v="12.95"/>
    <x v="109"/>
  </r>
  <r>
    <s v="XEE-37895-169"/>
    <x v="18"/>
    <x v="470"/>
    <s v="A-L-2.5"/>
    <x v="2"/>
    <x v="1"/>
    <x v="3"/>
    <s v="Perry Lyfield"/>
    <s v="Cleveland"/>
    <s v="United States"/>
    <x v="0"/>
    <x v="4"/>
    <n v="29.785"/>
    <x v="49"/>
  </r>
  <r>
    <s v="ZTX-80764-911"/>
    <x v="239"/>
    <x v="471"/>
    <s v="L-D-0.5"/>
    <x v="3"/>
    <x v="2"/>
    <x v="1"/>
    <s v="Heall Perris"/>
    <s v="Ballymahon"/>
    <s v="Ireland"/>
    <x v="1"/>
    <x v="2"/>
    <n v="7.77"/>
    <x v="162"/>
  </r>
  <r>
    <s v="IPA-94170-889"/>
    <x v="294"/>
    <x v="472"/>
    <s v="R-L-0.2"/>
    <x v="0"/>
    <x v="1"/>
    <x v="2"/>
    <s v="Camellia Kid"/>
    <s v="Whitegate"/>
    <s v="Ireland"/>
    <x v="0"/>
    <x v="4"/>
    <n v="3.585"/>
    <x v="127"/>
  </r>
  <r>
    <s v="YQL-63755-365"/>
    <x v="118"/>
    <x v="473"/>
    <s v="A-M-0.2"/>
    <x v="2"/>
    <x v="0"/>
    <x v="2"/>
    <s v="Carolann Beine"/>
    <s v="Birmingham"/>
    <s v="United States"/>
    <x v="0"/>
    <x v="5"/>
    <n v="3.375"/>
    <x v="72"/>
  </r>
  <r>
    <s v="RKW-81145-984"/>
    <x v="407"/>
    <x v="474"/>
    <s v="L-L-1"/>
    <x v="3"/>
    <x v="1"/>
    <x v="0"/>
    <s v="Celia Bakeup"/>
    <s v="Saint Cloud"/>
    <s v="United States"/>
    <x v="1"/>
    <x v="4"/>
    <n v="15.85"/>
    <x v="46"/>
  </r>
  <r>
    <s v="MBT-23379-866"/>
    <x v="408"/>
    <x v="475"/>
    <s v="L-L-1"/>
    <x v="3"/>
    <x v="1"/>
    <x v="0"/>
    <s v="Nataniel Helkin"/>
    <s v="Philadelphia"/>
    <s v="United States"/>
    <x v="1"/>
    <x v="1"/>
    <n v="15.85"/>
    <x v="181"/>
  </r>
  <r>
    <s v="GEJ-39834-935"/>
    <x v="409"/>
    <x v="476"/>
    <s v="L-M-0.2"/>
    <x v="3"/>
    <x v="0"/>
    <x v="2"/>
    <s v="Pippo Witherington"/>
    <s v="Detroit"/>
    <s v="United States"/>
    <x v="0"/>
    <x v="2"/>
    <n v="4.3650000000000002"/>
    <x v="50"/>
  </r>
  <r>
    <s v="KRW-91640-596"/>
    <x v="410"/>
    <x v="477"/>
    <s v="R-L-0.5"/>
    <x v="0"/>
    <x v="1"/>
    <x v="1"/>
    <s v="Tildie Tilzey"/>
    <s v="Saint Louis"/>
    <s v="United States"/>
    <x v="1"/>
    <x v="4"/>
    <n v="7.17"/>
    <x v="137"/>
  </r>
  <r>
    <s v="AOT-70449-651"/>
    <x v="411"/>
    <x v="478"/>
    <s v="R-D-2.5"/>
    <x v="0"/>
    <x v="2"/>
    <x v="3"/>
    <s v="Cindra Burling"/>
    <s v="Schenectady"/>
    <s v="United States"/>
    <x v="0"/>
    <x v="1"/>
    <n v="20.585000000000001"/>
    <x v="183"/>
  </r>
  <r>
    <s v="DGC-21813-731"/>
    <x v="127"/>
    <x v="479"/>
    <s v="L-D-0.2"/>
    <x v="3"/>
    <x v="2"/>
    <x v="2"/>
    <s v="Channa Belamy"/>
    <s v="Lakeland"/>
    <s v="United States"/>
    <x v="1"/>
    <x v="0"/>
    <n v="3.8849999999999998"/>
    <x v="5"/>
  </r>
  <r>
    <s v="JBE-92943-643"/>
    <x v="412"/>
    <x v="480"/>
    <s v="E-D-2.5"/>
    <x v="1"/>
    <x v="2"/>
    <x v="3"/>
    <s v="Karl Imorts"/>
    <s v="Melbourne"/>
    <s v="United States"/>
    <x v="1"/>
    <x v="1"/>
    <n v="27.945"/>
    <x v="141"/>
  </r>
  <r>
    <s v="JSU-23781-256"/>
    <x v="413"/>
    <x v="481"/>
    <s v="L-D-0.2"/>
    <x v="3"/>
    <x v="2"/>
    <x v="2"/>
    <s v="Mag Armistead"/>
    <s v="New Orleans"/>
    <s v="United States"/>
    <x v="1"/>
    <x v="3"/>
    <n v="3.8849999999999998"/>
    <x v="84"/>
  </r>
  <r>
    <s v="JSU-23781-256"/>
    <x v="413"/>
    <x v="481"/>
    <s v="R-M-1"/>
    <x v="0"/>
    <x v="0"/>
    <x v="0"/>
    <s v="Mag Armistead"/>
    <s v="New Orleans"/>
    <s v="United States"/>
    <x v="1"/>
    <x v="5"/>
    <n v="9.9499999999999993"/>
    <x v="16"/>
  </r>
  <r>
    <s v="VPX-44956-367"/>
    <x v="414"/>
    <x v="482"/>
    <s v="R-M-0.5"/>
    <x v="0"/>
    <x v="0"/>
    <x v="1"/>
    <s v="Vasili Upstone"/>
    <s v="Topeka"/>
    <s v="United States"/>
    <x v="1"/>
    <x v="1"/>
    <n v="5.97"/>
    <x v="44"/>
  </r>
  <r>
    <s v="VTB-46451-959"/>
    <x v="415"/>
    <x v="483"/>
    <s v="L-D-2.5"/>
    <x v="3"/>
    <x v="2"/>
    <x v="3"/>
    <s v="Berty Beelby"/>
    <s v="Lucan"/>
    <s v="Ireland"/>
    <x v="1"/>
    <x v="3"/>
    <n v="29.785"/>
    <x v="91"/>
  </r>
  <r>
    <s v="DNZ-11665-950"/>
    <x v="416"/>
    <x v="484"/>
    <s v="L-L-2.5"/>
    <x v="3"/>
    <x v="1"/>
    <x v="3"/>
    <s v="Erny Stenyng"/>
    <s v="Springfield"/>
    <s v="United States"/>
    <x v="1"/>
    <x v="0"/>
    <n v="36.454999999999998"/>
    <x v="39"/>
  </r>
  <r>
    <s v="ITR-54735-364"/>
    <x v="417"/>
    <x v="485"/>
    <s v="R-D-0.2"/>
    <x v="0"/>
    <x v="2"/>
    <x v="2"/>
    <s v="Edin Yantsurev"/>
    <s v="Camden"/>
    <s v="United States"/>
    <x v="0"/>
    <x v="1"/>
    <n v="2.6850000000000001"/>
    <x v="148"/>
  </r>
  <r>
    <s v="YDS-02797-307"/>
    <x v="418"/>
    <x v="486"/>
    <s v="E-M-2.5"/>
    <x v="1"/>
    <x v="0"/>
    <x v="3"/>
    <s v="Webb Speechly"/>
    <s v="Seattle"/>
    <s v="United States"/>
    <x v="0"/>
    <x v="5"/>
    <n v="31.625"/>
    <x v="177"/>
  </r>
  <r>
    <s v="BPG-68988-842"/>
    <x v="419"/>
    <x v="487"/>
    <s v="E-M-0.5"/>
    <x v="1"/>
    <x v="0"/>
    <x v="1"/>
    <s v="Irvine Phillpot"/>
    <s v="Wootton"/>
    <s v="United Kingdom"/>
    <x v="1"/>
    <x v="1"/>
    <n v="8.25"/>
    <x v="1"/>
  </r>
  <r>
    <s v="XZG-51938-658"/>
    <x v="420"/>
    <x v="488"/>
    <s v="E-L-0.5"/>
    <x v="1"/>
    <x v="1"/>
    <x v="1"/>
    <s v="Lem Pennacci"/>
    <s v="Waco"/>
    <s v="United States"/>
    <x v="1"/>
    <x v="2"/>
    <n v="8.91"/>
    <x v="119"/>
  </r>
  <r>
    <s v="KAR-24978-271"/>
    <x v="421"/>
    <x v="489"/>
    <s v="R-M-1"/>
    <x v="0"/>
    <x v="0"/>
    <x v="0"/>
    <s v="Starr Arpin"/>
    <s v="Richmond"/>
    <s v="United States"/>
    <x v="1"/>
    <x v="2"/>
    <n v="9.9499999999999993"/>
    <x v="3"/>
  </r>
  <r>
    <s v="FQK-28730-361"/>
    <x v="422"/>
    <x v="490"/>
    <s v="R-M-1"/>
    <x v="0"/>
    <x v="0"/>
    <x v="0"/>
    <s v="Donny Fries"/>
    <s v="Toledo"/>
    <s v="United States"/>
    <x v="1"/>
    <x v="2"/>
    <n v="9.9499999999999993"/>
    <x v="3"/>
  </r>
  <r>
    <s v="BGB-67996-089"/>
    <x v="423"/>
    <x v="491"/>
    <s v="R-D-1"/>
    <x v="0"/>
    <x v="2"/>
    <x v="0"/>
    <s v="Rana Sharer"/>
    <s v="Huntington"/>
    <s v="United States"/>
    <x v="1"/>
    <x v="1"/>
    <n v="8.9499999999999993"/>
    <x v="153"/>
  </r>
  <r>
    <s v="XMC-20620-809"/>
    <x v="424"/>
    <x v="492"/>
    <s v="E-M-0.5"/>
    <x v="1"/>
    <x v="0"/>
    <x v="1"/>
    <s v="Nannie Naseby"/>
    <s v="Winter Haven"/>
    <s v="United States"/>
    <x v="0"/>
    <x v="0"/>
    <n v="8.25"/>
    <x v="8"/>
  </r>
  <r>
    <s v="ZSO-58292-191"/>
    <x v="110"/>
    <x v="493"/>
    <s v="R-D-0.5"/>
    <x v="0"/>
    <x v="2"/>
    <x v="1"/>
    <s v="Rea Offell"/>
    <s v="Dallas"/>
    <s v="United States"/>
    <x v="1"/>
    <x v="5"/>
    <n v="5.37"/>
    <x v="156"/>
  </r>
  <r>
    <s v="LWJ-06793-303"/>
    <x v="205"/>
    <x v="494"/>
    <s v="R-M-2.5"/>
    <x v="0"/>
    <x v="0"/>
    <x v="3"/>
    <s v="Kris O'Cullen"/>
    <s v="Adare"/>
    <s v="Ireland"/>
    <x v="0"/>
    <x v="0"/>
    <n v="22.885000000000002"/>
    <x v="135"/>
  </r>
  <r>
    <s v="FLM-82229-989"/>
    <x v="425"/>
    <x v="495"/>
    <s v="L-L-0.2"/>
    <x v="3"/>
    <x v="1"/>
    <x v="2"/>
    <s v="Timoteo Glisane"/>
    <s v="Ballivor"/>
    <s v="Ireland"/>
    <x v="1"/>
    <x v="0"/>
    <n v="4.7549999999999999"/>
    <x v="54"/>
  </r>
  <r>
    <s v="OGW-60685-912"/>
    <x v="225"/>
    <x v="496"/>
    <s v="E-D-2.5"/>
    <x v="1"/>
    <x v="2"/>
    <x v="3"/>
    <s v="Hildegarde Brangan"/>
    <s v="Evansville"/>
    <s v="United States"/>
    <x v="0"/>
    <x v="5"/>
    <n v="27.945"/>
    <x v="150"/>
  </r>
  <r>
    <s v="DEC-11160-362"/>
    <x v="222"/>
    <x v="497"/>
    <s v="R-D-0.2"/>
    <x v="0"/>
    <x v="2"/>
    <x v="2"/>
    <s v="Amii Gallyon"/>
    <s v="Naperville"/>
    <s v="United States"/>
    <x v="0"/>
    <x v="5"/>
    <n v="2.6850000000000001"/>
    <x v="176"/>
  </r>
  <r>
    <s v="WCT-07869-499"/>
    <x v="92"/>
    <x v="498"/>
    <s v="R-D-0.5"/>
    <x v="0"/>
    <x v="2"/>
    <x v="1"/>
    <s v="Birgit Domange"/>
    <s v="Charleston"/>
    <s v="United States"/>
    <x v="1"/>
    <x v="1"/>
    <n v="5.37"/>
    <x v="51"/>
  </r>
  <r>
    <s v="FHD-89872-325"/>
    <x v="426"/>
    <x v="499"/>
    <s v="L-L-1"/>
    <x v="3"/>
    <x v="1"/>
    <x v="0"/>
    <s v="Killian Osler"/>
    <s v="Lansing"/>
    <s v="United States"/>
    <x v="0"/>
    <x v="5"/>
    <n v="15.85"/>
    <x v="166"/>
  </r>
  <r>
    <s v="AZF-45991-584"/>
    <x v="427"/>
    <x v="500"/>
    <s v="A-D-2.5"/>
    <x v="2"/>
    <x v="2"/>
    <x v="3"/>
    <s v="Lora Dukes"/>
    <s v="Boyle"/>
    <s v="Ireland"/>
    <x v="0"/>
    <x v="3"/>
    <n v="22.885000000000002"/>
    <x v="157"/>
  </r>
  <r>
    <s v="MDG-14481-513"/>
    <x v="428"/>
    <x v="501"/>
    <s v="A-M-2.5"/>
    <x v="2"/>
    <x v="0"/>
    <x v="3"/>
    <s v="Zack Pellett"/>
    <s v="Shreveport"/>
    <s v="United States"/>
    <x v="1"/>
    <x v="5"/>
    <n v="25.875"/>
    <x v="68"/>
  </r>
  <r>
    <s v="OFN-49424-848"/>
    <x v="429"/>
    <x v="502"/>
    <s v="R-L-2.5"/>
    <x v="0"/>
    <x v="1"/>
    <x v="3"/>
    <s v="Ilaire Sprakes"/>
    <s v="San Jose"/>
    <s v="United States"/>
    <x v="1"/>
    <x v="0"/>
    <n v="27.484999999999999"/>
    <x v="7"/>
  </r>
  <r>
    <s v="NFA-03411-746"/>
    <x v="384"/>
    <x v="503"/>
    <s v="A-L-0.5"/>
    <x v="2"/>
    <x v="1"/>
    <x v="1"/>
    <s v="Heda Fromant"/>
    <s v="Philadelphia"/>
    <s v="United States"/>
    <x v="1"/>
    <x v="0"/>
    <n v="7.77"/>
    <x v="42"/>
  </r>
  <r>
    <s v="CYM-74988-450"/>
    <x v="156"/>
    <x v="504"/>
    <s v="L-D-0.2"/>
    <x v="3"/>
    <x v="2"/>
    <x v="2"/>
    <s v="Rufus Flear"/>
    <s v="Sheffield"/>
    <s v="United Kingdom"/>
    <x v="1"/>
    <x v="5"/>
    <n v="3.8849999999999998"/>
    <x v="42"/>
  </r>
  <r>
    <s v="WTV-24996-658"/>
    <x v="430"/>
    <x v="505"/>
    <s v="E-D-2.5"/>
    <x v="1"/>
    <x v="2"/>
    <x v="3"/>
    <s v="Dom Milella"/>
    <s v="Manorhamilton"/>
    <s v="Ireland"/>
    <x v="1"/>
    <x v="4"/>
    <n v="27.945"/>
    <x v="171"/>
  </r>
  <r>
    <s v="DSL-69915-544"/>
    <x v="104"/>
    <x v="506"/>
    <s v="R-L-0.2"/>
    <x v="0"/>
    <x v="1"/>
    <x v="2"/>
    <s v="Wilek Lightollers"/>
    <s v="New York City"/>
    <s v="United States"/>
    <x v="0"/>
    <x v="4"/>
    <n v="3.585"/>
    <x v="127"/>
  </r>
  <r>
    <s v="OYU-25085-528"/>
    <x v="77"/>
    <x v="506"/>
    <s v="E-L-0.2"/>
    <x v="1"/>
    <x v="1"/>
    <x v="2"/>
    <s v="Wilek Lightollers"/>
    <s v="New York City"/>
    <s v="United States"/>
    <x v="0"/>
    <x v="5"/>
    <n v="4.4550000000000001"/>
    <x v="58"/>
  </r>
  <r>
    <s v="NBT-35757-542"/>
    <x v="361"/>
    <x v="507"/>
    <s v="E-L-0.2"/>
    <x v="1"/>
    <x v="1"/>
    <x v="2"/>
    <s v="Bette-ann Munden"/>
    <s v="Oklahoma City"/>
    <s v="United States"/>
    <x v="0"/>
    <x v="4"/>
    <n v="4.4550000000000001"/>
    <x v="77"/>
  </r>
  <r>
    <s v="XCG-07109-195"/>
    <x v="431"/>
    <x v="508"/>
    <s v="L-D-0.2"/>
    <x v="3"/>
    <x v="2"/>
    <x v="2"/>
    <s v="Nick Brakespear"/>
    <s v="Newark"/>
    <s v="United States"/>
    <x v="0"/>
    <x v="2"/>
    <n v="3.8849999999999998"/>
    <x v="102"/>
  </r>
  <r>
    <s v="YZA-25234-630"/>
    <x v="125"/>
    <x v="509"/>
    <s v="E-D-0.2"/>
    <x v="1"/>
    <x v="2"/>
    <x v="2"/>
    <s v="Malynda Glawsop"/>
    <s v="New Haven"/>
    <s v="United States"/>
    <x v="1"/>
    <x v="0"/>
    <n v="3.645"/>
    <x v="35"/>
  </r>
  <r>
    <s v="OKU-29966-417"/>
    <x v="432"/>
    <x v="510"/>
    <s v="E-L-0.2"/>
    <x v="1"/>
    <x v="1"/>
    <x v="2"/>
    <s v="Granville Alberts"/>
    <s v="Belfast"/>
    <s v="United Kingdom"/>
    <x v="0"/>
    <x v="5"/>
    <n v="4.4550000000000001"/>
    <x v="58"/>
  </r>
  <r>
    <s v="MEX-29350-659"/>
    <x v="30"/>
    <x v="511"/>
    <s v="E-M-1"/>
    <x v="1"/>
    <x v="0"/>
    <x v="0"/>
    <s v="Vasily Polglase"/>
    <s v="Toledo"/>
    <s v="United States"/>
    <x v="1"/>
    <x v="1"/>
    <n v="13.75"/>
    <x v="85"/>
  </r>
  <r>
    <s v="NOY-99738-977"/>
    <x v="433"/>
    <x v="512"/>
    <s v="R-L-2.5"/>
    <x v="0"/>
    <x v="1"/>
    <x v="3"/>
    <s v="Madelaine Sharples"/>
    <s v="Newton"/>
    <s v="United Kingdom"/>
    <x v="0"/>
    <x v="0"/>
    <n v="27.484999999999999"/>
    <x v="7"/>
  </r>
  <r>
    <s v="TCR-01064-030"/>
    <x v="254"/>
    <x v="513"/>
    <s v="E-M-1"/>
    <x v="1"/>
    <x v="0"/>
    <x v="0"/>
    <s v="Sigfrid Busch"/>
    <s v="Bantry"/>
    <s v="Ireland"/>
    <x v="1"/>
    <x v="2"/>
    <n v="13.75"/>
    <x v="121"/>
  </r>
  <r>
    <s v="YUL-42750-776"/>
    <x v="221"/>
    <x v="514"/>
    <s v="L-M-0.2"/>
    <x v="3"/>
    <x v="0"/>
    <x v="2"/>
    <s v="Cissiee Raisbeck"/>
    <s v="Shreveport"/>
    <s v="United States"/>
    <x v="0"/>
    <x v="0"/>
    <n v="4.3650000000000002"/>
    <x v="34"/>
  </r>
  <r>
    <s v="CUN-90044-279"/>
    <x v="434"/>
    <x v="515"/>
    <s v="L-D-0.2"/>
    <x v="3"/>
    <x v="2"/>
    <x v="2"/>
    <s v="Kenton Wetherick"/>
    <s v="Lexington"/>
    <s v="United States"/>
    <x v="0"/>
    <x v="5"/>
    <n v="3.8849999999999998"/>
    <x v="42"/>
  </r>
  <r>
    <s v="ICC-73030-502"/>
    <x v="435"/>
    <x v="516"/>
    <s v="A-L-1"/>
    <x v="2"/>
    <x v="1"/>
    <x v="0"/>
    <s v="Reamonn Aynold"/>
    <s v="Milwaukee"/>
    <s v="United States"/>
    <x v="0"/>
    <x v="4"/>
    <n v="12.95"/>
    <x v="9"/>
  </r>
  <r>
    <s v="ADP-04506-084"/>
    <x v="436"/>
    <x v="517"/>
    <s v="E-M-2.5"/>
    <x v="1"/>
    <x v="0"/>
    <x v="3"/>
    <s v="Hatty Dovydenas"/>
    <s v="Amarillo"/>
    <s v="United States"/>
    <x v="0"/>
    <x v="2"/>
    <n v="31.625"/>
    <x v="151"/>
  </r>
  <r>
    <s v="PNU-22150-408"/>
    <x v="437"/>
    <x v="518"/>
    <s v="A-D-0.2"/>
    <x v="2"/>
    <x v="2"/>
    <x v="2"/>
    <s v="Nathaniel Bloxland"/>
    <s v="Daingean"/>
    <s v="Ireland"/>
    <x v="0"/>
    <x v="2"/>
    <n v="2.9849999999999999"/>
    <x v="13"/>
  </r>
  <r>
    <s v="VSQ-07182-513"/>
    <x v="438"/>
    <x v="519"/>
    <s v="L-L-0.2"/>
    <x v="3"/>
    <x v="1"/>
    <x v="2"/>
    <s v="Brendan Grece"/>
    <s v="Halton"/>
    <s v="United Kingdom"/>
    <x v="1"/>
    <x v="2"/>
    <n v="4.7549999999999999"/>
    <x v="36"/>
  </r>
  <r>
    <s v="SPF-31673-217"/>
    <x v="439"/>
    <x v="520"/>
    <s v="E-M-1"/>
    <x v="1"/>
    <x v="0"/>
    <x v="0"/>
    <s v="Don Flintiff"/>
    <s v="London"/>
    <s v="United Kingdom"/>
    <x v="1"/>
    <x v="2"/>
    <n v="13.75"/>
    <x v="121"/>
  </r>
  <r>
    <s v="HMB-30634-745"/>
    <x v="218"/>
    <x v="520"/>
    <s v="A-D-2.5"/>
    <x v="2"/>
    <x v="2"/>
    <x v="3"/>
    <s v="Don Flintiff"/>
    <s v="London"/>
    <s v="United Kingdom"/>
    <x v="1"/>
    <x v="2"/>
    <n v="22.885000000000002"/>
    <x v="164"/>
  </r>
  <r>
    <s v="PBT-36926-102"/>
    <x v="345"/>
    <x v="520"/>
    <s v="L-M-1"/>
    <x v="3"/>
    <x v="0"/>
    <x v="0"/>
    <s v="Don Flintiff"/>
    <s v="London"/>
    <s v="United Kingdom"/>
    <x v="1"/>
    <x v="5"/>
    <n v="14.55"/>
    <x v="125"/>
  </r>
  <r>
    <s v="NEX-63825-598"/>
    <x v="175"/>
    <x v="521"/>
    <s v="R-L-0.5"/>
    <x v="0"/>
    <x v="1"/>
    <x v="1"/>
    <s v="Abbe Thys"/>
    <s v="Knoxville"/>
    <s v="United States"/>
    <x v="1"/>
    <x v="0"/>
    <n v="7.17"/>
    <x v="79"/>
  </r>
  <r>
    <s v="XPG-66112-335"/>
    <x v="440"/>
    <x v="522"/>
    <s v="R-D-2.5"/>
    <x v="0"/>
    <x v="2"/>
    <x v="3"/>
    <s v="Jackquelin Chugg"/>
    <s v="Shawnee Mission"/>
    <s v="United States"/>
    <x v="1"/>
    <x v="5"/>
    <n v="20.585000000000001"/>
    <x v="26"/>
  </r>
  <r>
    <s v="NSQ-72210-345"/>
    <x v="441"/>
    <x v="523"/>
    <s v="A-M-0.2"/>
    <x v="2"/>
    <x v="0"/>
    <x v="2"/>
    <s v="Audra Kelston"/>
    <s v="Fort Lauderdale"/>
    <s v="United States"/>
    <x v="0"/>
    <x v="2"/>
    <n v="3.375"/>
    <x v="15"/>
  </r>
  <r>
    <s v="XRR-28376-277"/>
    <x v="442"/>
    <x v="524"/>
    <s v="R-L-2.5"/>
    <x v="0"/>
    <x v="1"/>
    <x v="3"/>
    <s v="Elvina Angel"/>
    <s v="Tralee"/>
    <s v="Ireland"/>
    <x v="1"/>
    <x v="2"/>
    <n v="27.484999999999999"/>
    <x v="184"/>
  </r>
  <r>
    <s v="WHQ-25197-475"/>
    <x v="443"/>
    <x v="525"/>
    <s v="L-L-0.2"/>
    <x v="3"/>
    <x v="1"/>
    <x v="2"/>
    <s v="Claiborne Mottram"/>
    <s v="Austin"/>
    <s v="United States"/>
    <x v="0"/>
    <x v="5"/>
    <n v="4.7549999999999999"/>
    <x v="81"/>
  </r>
  <r>
    <s v="XTL-68000-371"/>
    <x v="444"/>
    <x v="526"/>
    <s v="A-M-0.5"/>
    <x v="2"/>
    <x v="0"/>
    <x v="1"/>
    <s v="Donalt Sangwin"/>
    <s v="Hyattsville"/>
    <s v="United States"/>
    <x v="1"/>
    <x v="5"/>
    <n v="6.75"/>
    <x v="21"/>
  </r>
  <r>
    <s v="YES-51109-625"/>
    <x v="39"/>
    <x v="527"/>
    <s v="E-L-0.5"/>
    <x v="1"/>
    <x v="1"/>
    <x v="1"/>
    <s v="Elizabet Aizikowitz"/>
    <s v="Ashley"/>
    <s v="United Kingdom"/>
    <x v="1"/>
    <x v="5"/>
    <n v="8.91"/>
    <x v="70"/>
  </r>
  <r>
    <s v="EAY-89850-211"/>
    <x v="445"/>
    <x v="528"/>
    <s v="A-D-0.2"/>
    <x v="2"/>
    <x v="2"/>
    <x v="2"/>
    <s v="Herbie Peppard"/>
    <s v="Pasadena"/>
    <s v="United States"/>
    <x v="0"/>
    <x v="0"/>
    <n v="2.9849999999999999"/>
    <x v="14"/>
  </r>
  <r>
    <s v="IOQ-84840-827"/>
    <x v="446"/>
    <x v="529"/>
    <s v="A-M-1"/>
    <x v="2"/>
    <x v="0"/>
    <x v="0"/>
    <s v="Cornie Venour"/>
    <s v="Shreveport"/>
    <s v="United States"/>
    <x v="1"/>
    <x v="2"/>
    <n v="11.25"/>
    <x v="173"/>
  </r>
  <r>
    <s v="FBD-56220-430"/>
    <x v="245"/>
    <x v="530"/>
    <s v="R-L-0.2"/>
    <x v="0"/>
    <x v="1"/>
    <x v="2"/>
    <s v="Maggy Harby"/>
    <s v="Pensacola"/>
    <s v="United States"/>
    <x v="0"/>
    <x v="2"/>
    <n v="3.585"/>
    <x v="137"/>
  </r>
  <r>
    <s v="COV-52659-202"/>
    <x v="447"/>
    <x v="531"/>
    <s v="L-M-2.5"/>
    <x v="3"/>
    <x v="0"/>
    <x v="3"/>
    <s v="Reggie Thickpenny"/>
    <s v="Los Angeles"/>
    <s v="United States"/>
    <x v="1"/>
    <x v="0"/>
    <n v="33.465000000000003"/>
    <x v="175"/>
  </r>
  <r>
    <s v="YUO-76652-814"/>
    <x v="448"/>
    <x v="532"/>
    <s v="A-D-0.2"/>
    <x v="2"/>
    <x v="2"/>
    <x v="2"/>
    <s v="Phyllys Ormerod"/>
    <s v="Durham"/>
    <s v="United States"/>
    <x v="1"/>
    <x v="2"/>
    <n v="2.9849999999999999"/>
    <x v="13"/>
  </r>
  <r>
    <s v="BLV-60087-454"/>
    <x v="152"/>
    <x v="533"/>
    <s v="E-L-0.2"/>
    <x v="1"/>
    <x v="1"/>
    <x v="2"/>
    <s v="Tymon Zanetti"/>
    <s v="Loughrea"/>
    <s v="Ireland"/>
    <x v="1"/>
    <x v="4"/>
    <n v="4.4550000000000001"/>
    <x v="77"/>
  </r>
  <r>
    <s v="BLV-60087-454"/>
    <x v="152"/>
    <x v="533"/>
    <s v="A-M-0.5"/>
    <x v="2"/>
    <x v="0"/>
    <x v="1"/>
    <s v="Tymon Zanetti"/>
    <s v="Loughrea"/>
    <s v="Ireland"/>
    <x v="1"/>
    <x v="1"/>
    <n v="6.75"/>
    <x v="65"/>
  </r>
  <r>
    <s v="QYC-63914-195"/>
    <x v="449"/>
    <x v="534"/>
    <s v="E-L-1"/>
    <x v="1"/>
    <x v="1"/>
    <x v="0"/>
    <s v="Reinaldos Kirtley"/>
    <s v="Whittier"/>
    <s v="United States"/>
    <x v="0"/>
    <x v="4"/>
    <n v="14.85"/>
    <x v="69"/>
  </r>
  <r>
    <s v="OIB-77163-890"/>
    <x v="450"/>
    <x v="535"/>
    <s v="E-L-0.5"/>
    <x v="1"/>
    <x v="1"/>
    <x v="1"/>
    <s v="Carney Clemencet"/>
    <s v="Birmingham"/>
    <s v="United Kingdom"/>
    <x v="0"/>
    <x v="1"/>
    <n v="8.91"/>
    <x v="69"/>
  </r>
  <r>
    <s v="SGS-87525-238"/>
    <x v="451"/>
    <x v="536"/>
    <s v="E-D-1"/>
    <x v="1"/>
    <x v="2"/>
    <x v="0"/>
    <s v="Russell Donet"/>
    <s v="Richmond"/>
    <s v="United States"/>
    <x v="1"/>
    <x v="1"/>
    <n v="12.15"/>
    <x v="185"/>
  </r>
  <r>
    <s v="GQR-12490-152"/>
    <x v="84"/>
    <x v="537"/>
    <s v="R-L-0.2"/>
    <x v="0"/>
    <x v="1"/>
    <x v="2"/>
    <s v="Sidney Gawen"/>
    <s v="Sterling"/>
    <s v="United States"/>
    <x v="0"/>
    <x v="3"/>
    <n v="3.585"/>
    <x v="60"/>
  </r>
  <r>
    <s v="UOJ-28238-299"/>
    <x v="452"/>
    <x v="538"/>
    <s v="R-L-0.2"/>
    <x v="0"/>
    <x v="1"/>
    <x v="2"/>
    <s v="Rickey Readie"/>
    <s v="Carson City"/>
    <s v="United States"/>
    <x v="1"/>
    <x v="2"/>
    <n v="3.585"/>
    <x v="137"/>
  </r>
  <r>
    <s v="ETD-58130-674"/>
    <x v="453"/>
    <x v="539"/>
    <s v="E-M-0.5"/>
    <x v="1"/>
    <x v="0"/>
    <x v="1"/>
    <s v="Cody Verissimo"/>
    <s v="Upton"/>
    <s v="United Kingdom"/>
    <x v="0"/>
    <x v="0"/>
    <n v="8.25"/>
    <x v="8"/>
  </r>
  <r>
    <s v="VQW-91903-926"/>
    <x v="454"/>
    <x v="539"/>
    <s v="E-D-2.5"/>
    <x v="1"/>
    <x v="2"/>
    <x v="3"/>
    <s v="Cody Verissimo"/>
    <s v="Upton"/>
    <s v="United Kingdom"/>
    <x v="0"/>
    <x v="3"/>
    <n v="27.945"/>
    <x v="140"/>
  </r>
  <r>
    <s v="UMM-28497-689"/>
    <x v="455"/>
    <x v="539"/>
    <s v="L-L-2.5"/>
    <x v="3"/>
    <x v="1"/>
    <x v="3"/>
    <s v="Cody Verissimo"/>
    <s v="Upton"/>
    <s v="United Kingdom"/>
    <x v="0"/>
    <x v="4"/>
    <n v="36.454999999999998"/>
    <x v="63"/>
  </r>
  <r>
    <s v="OKA-93124-100"/>
    <x v="456"/>
    <x v="539"/>
    <s v="R-M-0.5"/>
    <x v="0"/>
    <x v="0"/>
    <x v="1"/>
    <s v="Cody Verissimo"/>
    <s v="Upton"/>
    <s v="United Kingdom"/>
    <x v="0"/>
    <x v="1"/>
    <n v="5.97"/>
    <x v="44"/>
  </r>
  <r>
    <s v="UPF-60123-025"/>
    <x v="457"/>
    <x v="540"/>
    <s v="R-L-2.5"/>
    <x v="0"/>
    <x v="1"/>
    <x v="3"/>
    <s v="Zilvia Claisse"/>
    <s v="Saint Paul"/>
    <s v="United States"/>
    <x v="1"/>
    <x v="4"/>
    <n v="27.484999999999999"/>
    <x v="186"/>
  </r>
  <r>
    <s v="NQS-01613-687"/>
    <x v="458"/>
    <x v="541"/>
    <s v="L-D-0.5"/>
    <x v="3"/>
    <x v="2"/>
    <x v="1"/>
    <s v="Bar O' Mahony"/>
    <s v="Huntsville"/>
    <s v="United States"/>
    <x v="0"/>
    <x v="3"/>
    <n v="7.77"/>
    <x v="5"/>
  </r>
  <r>
    <s v="MGH-36050-573"/>
    <x v="459"/>
    <x v="542"/>
    <s v="R-M-0.5"/>
    <x v="0"/>
    <x v="0"/>
    <x v="1"/>
    <s v="Valenka Stansbury"/>
    <s v="El Paso"/>
    <s v="United States"/>
    <x v="0"/>
    <x v="0"/>
    <n v="5.97"/>
    <x v="27"/>
  </r>
  <r>
    <s v="UVF-59322-459"/>
    <x v="373"/>
    <x v="543"/>
    <s v="E-L-2.5"/>
    <x v="1"/>
    <x v="1"/>
    <x v="3"/>
    <s v="Daniel Heinonen"/>
    <s v="Decatur"/>
    <s v="United States"/>
    <x v="1"/>
    <x v="2"/>
    <n v="34.155000000000001"/>
    <x v="106"/>
  </r>
  <r>
    <s v="VET-41158-896"/>
    <x v="460"/>
    <x v="544"/>
    <s v="E-M-2.5"/>
    <x v="1"/>
    <x v="0"/>
    <x v="3"/>
    <s v="Jewelle Shenton"/>
    <s v="Orange"/>
    <s v="United States"/>
    <x v="0"/>
    <x v="0"/>
    <n v="31.625"/>
    <x v="41"/>
  </r>
  <r>
    <s v="XYL-52196-459"/>
    <x v="461"/>
    <x v="545"/>
    <s v="R-D-0.2"/>
    <x v="0"/>
    <x v="2"/>
    <x v="2"/>
    <s v="Jennifer Wilkisson"/>
    <s v="Huntington Beach"/>
    <s v="United States"/>
    <x v="0"/>
    <x v="4"/>
    <n v="2.6850000000000001"/>
    <x v="37"/>
  </r>
  <r>
    <s v="BPZ-51283-916"/>
    <x v="264"/>
    <x v="546"/>
    <s v="A-M-2.5"/>
    <x v="2"/>
    <x v="0"/>
    <x v="3"/>
    <s v="Kylie Mowat"/>
    <s v="Milwaukee"/>
    <s v="United States"/>
    <x v="1"/>
    <x v="0"/>
    <n v="25.875"/>
    <x v="95"/>
  </r>
  <r>
    <s v="OLF-77983-457"/>
    <x v="462"/>
    <x v="547"/>
    <s v="A-L-2.5"/>
    <x v="2"/>
    <x v="1"/>
    <x v="3"/>
    <s v="Gabriel Starcks"/>
    <s v="Chattanooga"/>
    <s v="United States"/>
    <x v="1"/>
    <x v="0"/>
    <n v="29.785"/>
    <x v="120"/>
  </r>
  <r>
    <s v="MVI-04946-827"/>
    <x v="463"/>
    <x v="548"/>
    <s v="E-L-1"/>
    <x v="1"/>
    <x v="1"/>
    <x v="0"/>
    <s v="Darby Dummer"/>
    <s v="Manchester"/>
    <s v="United Kingdom"/>
    <x v="1"/>
    <x v="3"/>
    <n v="14.85"/>
    <x v="152"/>
  </r>
  <r>
    <s v="UOG-94188-104"/>
    <x v="221"/>
    <x v="549"/>
    <s v="A-M-0.5"/>
    <x v="2"/>
    <x v="0"/>
    <x v="1"/>
    <s v="Kienan Scholard"/>
    <s v="Columbus"/>
    <s v="United States"/>
    <x v="1"/>
    <x v="1"/>
    <n v="6.75"/>
    <x v="65"/>
  </r>
  <r>
    <s v="DSN-15872-519"/>
    <x v="464"/>
    <x v="550"/>
    <s v="L-L-2.5"/>
    <x v="3"/>
    <x v="1"/>
    <x v="3"/>
    <s v="Bo Kindley"/>
    <s v="Pasadena"/>
    <s v="United States"/>
    <x v="0"/>
    <x v="5"/>
    <n v="36.454999999999998"/>
    <x v="43"/>
  </r>
  <r>
    <s v="OUQ-73954-002"/>
    <x v="465"/>
    <x v="551"/>
    <s v="R-M-0.2"/>
    <x v="0"/>
    <x v="0"/>
    <x v="2"/>
    <s v="Krissie Hammett"/>
    <s v="San Francisco"/>
    <s v="United States"/>
    <x v="0"/>
    <x v="5"/>
    <n v="2.9849999999999999"/>
    <x v="27"/>
  </r>
  <r>
    <s v="LGL-16843-667"/>
    <x v="466"/>
    <x v="552"/>
    <s v="A-D-0.2"/>
    <x v="2"/>
    <x v="2"/>
    <x v="2"/>
    <s v="Alisha Hulburt"/>
    <s v="Shreveport"/>
    <s v="United States"/>
    <x v="0"/>
    <x v="5"/>
    <n v="2.9849999999999999"/>
    <x v="27"/>
  </r>
  <r>
    <s v="TCC-89722-031"/>
    <x v="467"/>
    <x v="553"/>
    <s v="L-D-0.5"/>
    <x v="3"/>
    <x v="2"/>
    <x v="1"/>
    <s v="Peyter Lauritzen"/>
    <s v="Philadelphia"/>
    <s v="United States"/>
    <x v="1"/>
    <x v="3"/>
    <n v="7.77"/>
    <x v="5"/>
  </r>
  <r>
    <s v="TRA-79507-007"/>
    <x v="468"/>
    <x v="554"/>
    <s v="R-L-2.5"/>
    <x v="0"/>
    <x v="1"/>
    <x v="3"/>
    <s v="Aurelia Burgwin"/>
    <s v="Migrate"/>
    <s v="United States"/>
    <x v="0"/>
    <x v="5"/>
    <n v="27.484999999999999"/>
    <x v="108"/>
  </r>
  <r>
    <s v="MZJ-77284-941"/>
    <x v="469"/>
    <x v="555"/>
    <s v="E-L-0.2"/>
    <x v="1"/>
    <x v="1"/>
    <x v="2"/>
    <s v="Emalee Rolin"/>
    <s v="Toledo"/>
    <s v="United States"/>
    <x v="0"/>
    <x v="1"/>
    <n v="4.4550000000000001"/>
    <x v="110"/>
  </r>
  <r>
    <s v="AXN-57779-891"/>
    <x v="470"/>
    <x v="556"/>
    <s v="R-M-0.2"/>
    <x v="0"/>
    <x v="0"/>
    <x v="2"/>
    <s v="Donavon Fowle"/>
    <s v="Colorado Springs"/>
    <s v="United States"/>
    <x v="1"/>
    <x v="4"/>
    <n v="2.9849999999999999"/>
    <x v="170"/>
  </r>
  <r>
    <s v="PJB-15659-994"/>
    <x v="471"/>
    <x v="557"/>
    <s v="L-D-2.5"/>
    <x v="3"/>
    <x v="2"/>
    <x v="3"/>
    <s v="Jorge Bettison"/>
    <s v="Longwood"/>
    <s v="Ireland"/>
    <x v="1"/>
    <x v="5"/>
    <n v="29.785"/>
    <x v="129"/>
  </r>
  <r>
    <s v="LTS-03470-353"/>
    <x v="472"/>
    <x v="558"/>
    <s v="A-L-2.5"/>
    <x v="2"/>
    <x v="1"/>
    <x v="3"/>
    <s v="Wang Powlesland"/>
    <s v="Pittsburgh"/>
    <s v="United States"/>
    <x v="0"/>
    <x v="1"/>
    <n v="29.785"/>
    <x v="74"/>
  </r>
  <r>
    <s v="MJZ-93232-402"/>
    <x v="473"/>
    <x v="559"/>
    <s v="E-D-0.2"/>
    <x v="1"/>
    <x v="2"/>
    <x v="2"/>
    <s v="Laurence Ellingham"/>
    <s v="Shreveport"/>
    <s v="United States"/>
    <x v="0"/>
    <x v="3"/>
    <n v="3.645"/>
    <x v="187"/>
  </r>
  <r>
    <s v="UHW-74617-126"/>
    <x v="173"/>
    <x v="560"/>
    <s v="E-D-2.5"/>
    <x v="1"/>
    <x v="2"/>
    <x v="3"/>
    <s v="Billy Neiland"/>
    <s v="Cleveland"/>
    <s v="United States"/>
    <x v="1"/>
    <x v="0"/>
    <n v="27.945"/>
    <x v="155"/>
  </r>
  <r>
    <s v="RIK-61730-794"/>
    <x v="474"/>
    <x v="561"/>
    <s v="L-M-0.2"/>
    <x v="3"/>
    <x v="0"/>
    <x v="2"/>
    <s v="Ancell Fendt"/>
    <s v="Milwaukee"/>
    <s v="United States"/>
    <x v="0"/>
    <x v="2"/>
    <n v="4.3650000000000002"/>
    <x v="50"/>
  </r>
  <r>
    <s v="IDJ-55379-750"/>
    <x v="475"/>
    <x v="562"/>
    <s v="R-M-1"/>
    <x v="0"/>
    <x v="0"/>
    <x v="0"/>
    <s v="Angelia Cleyburn"/>
    <s v="Fort Lauderdale"/>
    <s v="United States"/>
    <x v="1"/>
    <x v="5"/>
    <n v="9.9499999999999993"/>
    <x v="16"/>
  </r>
  <r>
    <s v="OHX-11953-965"/>
    <x v="476"/>
    <x v="563"/>
    <s v="E-L-2.5"/>
    <x v="1"/>
    <x v="1"/>
    <x v="3"/>
    <s v="Temple Castiglione"/>
    <s v="Shreveport"/>
    <s v="United States"/>
    <x v="1"/>
    <x v="0"/>
    <n v="34.155000000000001"/>
    <x v="93"/>
  </r>
  <r>
    <s v="TVV-42245-088"/>
    <x v="477"/>
    <x v="564"/>
    <s v="A-M-0.2"/>
    <x v="2"/>
    <x v="0"/>
    <x v="2"/>
    <s v="Betti Lacasa"/>
    <s v="Beaumont"/>
    <s v="Ireland"/>
    <x v="1"/>
    <x v="5"/>
    <n v="3.375"/>
    <x v="72"/>
  </r>
  <r>
    <s v="DYP-74337-787"/>
    <x v="432"/>
    <x v="565"/>
    <s v="R-M-0.5"/>
    <x v="0"/>
    <x v="0"/>
    <x v="1"/>
    <s v="Gunilla Lynch"/>
    <s v="Sacramento"/>
    <s v="United States"/>
    <x v="1"/>
    <x v="3"/>
    <n v="5.97"/>
    <x v="14"/>
  </r>
  <r>
    <s v="IXW-20780-268"/>
    <x v="478"/>
    <x v="566"/>
    <s v="L-L-2.5"/>
    <x v="3"/>
    <x v="1"/>
    <x v="3"/>
    <s v="Shay Couronne"/>
    <s v="Fargo"/>
    <s v="United States"/>
    <x v="0"/>
    <x v="0"/>
    <n v="36.454999999999998"/>
    <x v="39"/>
  </r>
  <r>
    <s v="NGG-24006-937"/>
    <x v="45"/>
    <x v="567"/>
    <s v="E-M-2.5"/>
    <x v="1"/>
    <x v="0"/>
    <x v="3"/>
    <s v="Linus Flippelli"/>
    <s v="Middleton"/>
    <s v="United Kingdom"/>
    <x v="1"/>
    <x v="5"/>
    <n v="31.625"/>
    <x v="177"/>
  </r>
  <r>
    <s v="JZC-31180-557"/>
    <x v="444"/>
    <x v="568"/>
    <s v="L-M-2.5"/>
    <x v="3"/>
    <x v="0"/>
    <x v="3"/>
    <s v="Rachelle Elizabeth"/>
    <s v="Tulsa"/>
    <s v="United States"/>
    <x v="1"/>
    <x v="3"/>
    <n v="33.465000000000003"/>
    <x v="116"/>
  </r>
  <r>
    <s v="ZMU-63715-204"/>
    <x v="479"/>
    <x v="569"/>
    <s v="E-D-1"/>
    <x v="1"/>
    <x v="2"/>
    <x v="0"/>
    <s v="Innis Renhard"/>
    <s v="New York City"/>
    <s v="United States"/>
    <x v="0"/>
    <x v="2"/>
    <n v="12.15"/>
    <x v="118"/>
  </r>
  <r>
    <s v="GND-08192-056"/>
    <x v="480"/>
    <x v="570"/>
    <s v="L-D-0.5"/>
    <x v="3"/>
    <x v="2"/>
    <x v="1"/>
    <s v="Winne Roche"/>
    <s v="Seminole"/>
    <s v="United States"/>
    <x v="0"/>
    <x v="0"/>
    <n v="7.77"/>
    <x v="42"/>
  </r>
  <r>
    <s v="RYY-38961-093"/>
    <x v="481"/>
    <x v="571"/>
    <s v="A-M-0.2"/>
    <x v="2"/>
    <x v="0"/>
    <x v="2"/>
    <s v="Linn Alaway"/>
    <s v="Fort Lauderdale"/>
    <s v="United States"/>
    <x v="1"/>
    <x v="2"/>
    <n v="3.375"/>
    <x v="15"/>
  </r>
  <r>
    <s v="CVA-64996-969"/>
    <x v="478"/>
    <x v="572"/>
    <s v="A-L-1"/>
    <x v="2"/>
    <x v="1"/>
    <x v="0"/>
    <s v="Cordy Odgaard"/>
    <s v="Portland"/>
    <s v="United States"/>
    <x v="1"/>
    <x v="2"/>
    <n v="12.95"/>
    <x v="11"/>
  </r>
  <r>
    <s v="XTH-67276-442"/>
    <x v="482"/>
    <x v="573"/>
    <s v="L-M-2.5"/>
    <x v="3"/>
    <x v="0"/>
    <x v="3"/>
    <s v="Bertine Byrd"/>
    <s v="Las Vegas"/>
    <s v="United States"/>
    <x v="1"/>
    <x v="5"/>
    <n v="33.465000000000003"/>
    <x v="136"/>
  </r>
  <r>
    <s v="PVU-02950-470"/>
    <x v="353"/>
    <x v="574"/>
    <s v="E-D-1"/>
    <x v="1"/>
    <x v="2"/>
    <x v="0"/>
    <s v="Nelie Garnson"/>
    <s v="Merton"/>
    <s v="United Kingdom"/>
    <x v="1"/>
    <x v="3"/>
    <n v="12.15"/>
    <x v="87"/>
  </r>
  <r>
    <s v="XSN-26809-910"/>
    <x v="200"/>
    <x v="575"/>
    <s v="E-M-2.5"/>
    <x v="1"/>
    <x v="0"/>
    <x v="3"/>
    <s v="Dianne Chardin"/>
    <s v="Ballybofey"/>
    <s v="Ireland"/>
    <x v="0"/>
    <x v="0"/>
    <n v="31.625"/>
    <x v="41"/>
  </r>
  <r>
    <s v="UDN-88321-005"/>
    <x v="372"/>
    <x v="576"/>
    <s v="R-L-0.5"/>
    <x v="0"/>
    <x v="1"/>
    <x v="1"/>
    <s v="Hailee Radbone"/>
    <s v="San Francisco"/>
    <s v="United States"/>
    <x v="1"/>
    <x v="1"/>
    <n v="7.17"/>
    <x v="174"/>
  </r>
  <r>
    <s v="EXP-21628-670"/>
    <x v="267"/>
    <x v="577"/>
    <s v="A-M-2.5"/>
    <x v="2"/>
    <x v="0"/>
    <x v="3"/>
    <s v="Wallis Bernth"/>
    <s v="Pittsburgh"/>
    <s v="United States"/>
    <x v="1"/>
    <x v="4"/>
    <n v="25.875"/>
    <x v="57"/>
  </r>
  <r>
    <s v="VGM-24161-361"/>
    <x v="480"/>
    <x v="578"/>
    <s v="E-M-2.5"/>
    <x v="1"/>
    <x v="0"/>
    <x v="3"/>
    <s v="Byron Acarson"/>
    <s v="Houston"/>
    <s v="United States"/>
    <x v="0"/>
    <x v="0"/>
    <n v="31.625"/>
    <x v="41"/>
  </r>
  <r>
    <s v="PKN-19556-918"/>
    <x v="483"/>
    <x v="579"/>
    <s v="E-L-0.2"/>
    <x v="1"/>
    <x v="1"/>
    <x v="2"/>
    <s v="Faunie Brigham"/>
    <s v="Castlerea"/>
    <s v="Ireland"/>
    <x v="0"/>
    <x v="2"/>
    <n v="4.4550000000000001"/>
    <x v="149"/>
  </r>
  <r>
    <s v="PKN-19556-918"/>
    <x v="483"/>
    <x v="579"/>
    <s v="L-D-0.5"/>
    <x v="3"/>
    <x v="2"/>
    <x v="1"/>
    <s v="Faunie Brigham"/>
    <s v="Castlerea"/>
    <s v="Ireland"/>
    <x v="0"/>
    <x v="5"/>
    <n v="7.77"/>
    <x v="113"/>
  </r>
  <r>
    <s v="PKN-19556-918"/>
    <x v="483"/>
    <x v="579"/>
    <s v="A-D-0.2"/>
    <x v="2"/>
    <x v="2"/>
    <x v="2"/>
    <s v="Faunie Brigham"/>
    <s v="Castlerea"/>
    <s v="Ireland"/>
    <x v="0"/>
    <x v="3"/>
    <n v="2.9849999999999999"/>
    <x v="55"/>
  </r>
  <r>
    <s v="PKN-19556-918"/>
    <x v="483"/>
    <x v="579"/>
    <s v="R-D-2.5"/>
    <x v="0"/>
    <x v="2"/>
    <x v="3"/>
    <s v="Faunie Brigham"/>
    <s v="Castlerea"/>
    <s v="Ireland"/>
    <x v="0"/>
    <x v="1"/>
    <n v="20.585000000000001"/>
    <x v="183"/>
  </r>
  <r>
    <s v="DXQ-44537-297"/>
    <x v="484"/>
    <x v="580"/>
    <s v="E-L-0.5"/>
    <x v="1"/>
    <x v="1"/>
    <x v="1"/>
    <s v="Marjorie Yoxen"/>
    <s v="Los Angeles"/>
    <s v="United States"/>
    <x v="1"/>
    <x v="5"/>
    <n v="8.91"/>
    <x v="70"/>
  </r>
  <r>
    <s v="BPC-54727-307"/>
    <x v="485"/>
    <x v="581"/>
    <s v="R-L-1"/>
    <x v="0"/>
    <x v="1"/>
    <x v="0"/>
    <s v="Gaspar McGavin"/>
    <s v="Wilkes Barre"/>
    <s v="United States"/>
    <x v="1"/>
    <x v="5"/>
    <n v="11.95"/>
    <x v="62"/>
  </r>
  <r>
    <s v="KSH-47717-456"/>
    <x v="486"/>
    <x v="582"/>
    <s v="L-M-1"/>
    <x v="3"/>
    <x v="0"/>
    <x v="0"/>
    <s v="Lindy Uttermare"/>
    <s v="Denton"/>
    <s v="United States"/>
    <x v="1"/>
    <x v="4"/>
    <n v="14.55"/>
    <x v="38"/>
  </r>
  <r>
    <s v="ANK-59436-446"/>
    <x v="487"/>
    <x v="583"/>
    <s v="E-L-0.5"/>
    <x v="1"/>
    <x v="1"/>
    <x v="1"/>
    <s v="Eal D'Ambrogio"/>
    <s v="Lees Summit"/>
    <s v="United States"/>
    <x v="0"/>
    <x v="5"/>
    <n v="8.91"/>
    <x v="70"/>
  </r>
  <r>
    <s v="AYY-83051-752"/>
    <x v="488"/>
    <x v="584"/>
    <s v="L-L-1"/>
    <x v="3"/>
    <x v="1"/>
    <x v="0"/>
    <s v="Carolee Winchcombe"/>
    <s v="Little Rock"/>
    <s v="United States"/>
    <x v="0"/>
    <x v="2"/>
    <n v="15.85"/>
    <x v="180"/>
  </r>
  <r>
    <s v="CSW-59644-267"/>
    <x v="489"/>
    <x v="585"/>
    <s v="E-M-2.5"/>
    <x v="1"/>
    <x v="0"/>
    <x v="3"/>
    <s v="Benedikta Paumier"/>
    <s v="Ballisodare"/>
    <s v="Ireland"/>
    <x v="0"/>
    <x v="3"/>
    <n v="31.625"/>
    <x v="178"/>
  </r>
  <r>
    <s v="ITY-92466-909"/>
    <x v="162"/>
    <x v="586"/>
    <s v="A-M-2.5"/>
    <x v="2"/>
    <x v="0"/>
    <x v="3"/>
    <s v="Neville Piatto"/>
    <s v="Daingean"/>
    <s v="Ireland"/>
    <x v="0"/>
    <x v="4"/>
    <n v="25.875"/>
    <x v="57"/>
  </r>
  <r>
    <s v="IGW-04801-466"/>
    <x v="490"/>
    <x v="587"/>
    <s v="L-D-0.2"/>
    <x v="3"/>
    <x v="2"/>
    <x v="2"/>
    <s v="Jeno Capey"/>
    <s v="Erie"/>
    <s v="United States"/>
    <x v="0"/>
    <x v="3"/>
    <n v="3.8849999999999998"/>
    <x v="84"/>
  </r>
  <r>
    <s v="LJN-34281-921"/>
    <x v="491"/>
    <x v="588"/>
    <s v="R-L-2.5"/>
    <x v="0"/>
    <x v="1"/>
    <x v="3"/>
    <s v="Tuckie Mathonnet"/>
    <s v="Columbus"/>
    <s v="United States"/>
    <x v="1"/>
    <x v="1"/>
    <n v="27.484999999999999"/>
    <x v="188"/>
  </r>
  <r>
    <s v="OAW-17338-101"/>
    <x v="492"/>
    <x v="588"/>
    <s v="R-D-0.2"/>
    <x v="0"/>
    <x v="2"/>
    <x v="2"/>
    <s v="Tuckie Mathonnet"/>
    <s v="Columbus"/>
    <s v="United States"/>
    <x v="1"/>
    <x v="2"/>
    <n v="2.6850000000000001"/>
    <x v="103"/>
  </r>
  <r>
    <s v="BWZ-46364-547"/>
    <x v="302"/>
    <x v="589"/>
    <s v="R-L-1"/>
    <x v="0"/>
    <x v="1"/>
    <x v="0"/>
    <s v="Yardley Basill"/>
    <s v="Pittsburgh"/>
    <s v="United States"/>
    <x v="0"/>
    <x v="4"/>
    <n v="11.95"/>
    <x v="66"/>
  </r>
  <r>
    <s v="SBC-95710-706"/>
    <x v="195"/>
    <x v="590"/>
    <s v="E-M-0.2"/>
    <x v="1"/>
    <x v="0"/>
    <x v="2"/>
    <s v="Maggy Baistow"/>
    <s v="Ford"/>
    <s v="United Kingdom"/>
    <x v="0"/>
    <x v="0"/>
    <n v="4.125"/>
    <x v="112"/>
  </r>
  <r>
    <s v="WRN-55114-031"/>
    <x v="31"/>
    <x v="591"/>
    <s v="E-L-2.5"/>
    <x v="1"/>
    <x v="1"/>
    <x v="3"/>
    <s v="Courtney Pallant"/>
    <s v="Dallas"/>
    <s v="United States"/>
    <x v="0"/>
    <x v="4"/>
    <n v="34.155000000000001"/>
    <x v="89"/>
  </r>
  <r>
    <s v="TZU-64255-831"/>
    <x v="125"/>
    <x v="592"/>
    <s v="R-D-2.5"/>
    <x v="0"/>
    <x v="2"/>
    <x v="3"/>
    <s v="Marne Mingey"/>
    <s v="Miami"/>
    <s v="United States"/>
    <x v="1"/>
    <x v="0"/>
    <n v="20.585000000000001"/>
    <x v="20"/>
  </r>
  <r>
    <s v="JVF-91003-729"/>
    <x v="493"/>
    <x v="593"/>
    <s v="A-D-2.5"/>
    <x v="2"/>
    <x v="2"/>
    <x v="3"/>
    <s v="Denny O' Ronan"/>
    <s v="San Angelo"/>
    <s v="United States"/>
    <x v="0"/>
    <x v="4"/>
    <n v="22.885000000000002"/>
    <x v="96"/>
  </r>
  <r>
    <s v="MVB-22135-665"/>
    <x v="464"/>
    <x v="594"/>
    <s v="A-D-1"/>
    <x v="2"/>
    <x v="2"/>
    <x v="0"/>
    <s v="Dottie Rallin"/>
    <s v="Albany"/>
    <s v="United States"/>
    <x v="0"/>
    <x v="3"/>
    <n v="9.9499999999999993"/>
    <x v="138"/>
  </r>
  <r>
    <s v="CKS-47815-571"/>
    <x v="494"/>
    <x v="595"/>
    <s v="L-L-0.5"/>
    <x v="3"/>
    <x v="1"/>
    <x v="1"/>
    <s v="Ardith Chill"/>
    <s v="Thorpe"/>
    <s v="United Kingdom"/>
    <x v="0"/>
    <x v="4"/>
    <n v="9.51"/>
    <x v="36"/>
  </r>
  <r>
    <s v="ALP-37623-536"/>
    <x v="495"/>
    <x v="596"/>
    <s v="L-L-1"/>
    <x v="3"/>
    <x v="1"/>
    <x v="0"/>
    <s v="Charmane Denys"/>
    <s v="Carlton"/>
    <s v="United Kingdom"/>
    <x v="1"/>
    <x v="2"/>
    <n v="15.85"/>
    <x v="180"/>
  </r>
  <r>
    <s v="WMU-87639-108"/>
    <x v="496"/>
    <x v="597"/>
    <s v="R-D-0.5"/>
    <x v="0"/>
    <x v="2"/>
    <x v="1"/>
    <s v="Cecily Stebbings"/>
    <s v="Corona"/>
    <s v="United States"/>
    <x v="0"/>
    <x v="3"/>
    <n v="5.37"/>
    <x v="147"/>
  </r>
  <r>
    <s v="USN-44968-231"/>
    <x v="497"/>
    <x v="598"/>
    <s v="R-L-1"/>
    <x v="0"/>
    <x v="1"/>
    <x v="0"/>
    <s v="Giana Tonnesen"/>
    <s v="Washington"/>
    <s v="United States"/>
    <x v="1"/>
    <x v="5"/>
    <n v="11.95"/>
    <x v="62"/>
  </r>
  <r>
    <s v="YZG-20575-451"/>
    <x v="498"/>
    <x v="599"/>
    <s v="L-L-1"/>
    <x v="3"/>
    <x v="1"/>
    <x v="0"/>
    <s v="Rhetta Zywicki"/>
    <s v="Ballinteer"/>
    <s v="Ireland"/>
    <x v="1"/>
    <x v="5"/>
    <n v="15.85"/>
    <x v="166"/>
  </r>
  <r>
    <s v="HTH-52867-812"/>
    <x v="382"/>
    <x v="600"/>
    <s v="A-M-2.5"/>
    <x v="2"/>
    <x v="0"/>
    <x v="3"/>
    <s v="Almeria Burgett"/>
    <s v="Toledo"/>
    <s v="United States"/>
    <x v="1"/>
    <x v="5"/>
    <n v="25.875"/>
    <x v="68"/>
  </r>
  <r>
    <s v="FWU-44971-444"/>
    <x v="499"/>
    <x v="601"/>
    <s v="A-D-2.5"/>
    <x v="2"/>
    <x v="2"/>
    <x v="3"/>
    <s v="Marvin Malloy"/>
    <s v="Washington"/>
    <s v="United States"/>
    <x v="1"/>
    <x v="4"/>
    <n v="22.885000000000002"/>
    <x v="96"/>
  </r>
  <r>
    <s v="EQI-82205-066"/>
    <x v="500"/>
    <x v="602"/>
    <s v="R-M-2.5"/>
    <x v="0"/>
    <x v="0"/>
    <x v="3"/>
    <s v="Maxim McParland"/>
    <s v="Cedar Rapids"/>
    <s v="United States"/>
    <x v="0"/>
    <x v="0"/>
    <n v="22.885000000000002"/>
    <x v="135"/>
  </r>
  <r>
    <s v="NAR-00747-074"/>
    <x v="501"/>
    <x v="603"/>
    <s v="L-D-1"/>
    <x v="3"/>
    <x v="2"/>
    <x v="0"/>
    <s v="Sylas Jennaroy"/>
    <s v="Aurora"/>
    <s v="United States"/>
    <x v="1"/>
    <x v="5"/>
    <n v="12.95"/>
    <x v="67"/>
  </r>
  <r>
    <s v="JYR-22052-185"/>
    <x v="502"/>
    <x v="604"/>
    <s v="A-M-0.5"/>
    <x v="2"/>
    <x v="0"/>
    <x v="1"/>
    <s v="Wren Place"/>
    <s v="Sunnyvale"/>
    <s v="United States"/>
    <x v="0"/>
    <x v="0"/>
    <n v="6.75"/>
    <x v="72"/>
  </r>
  <r>
    <s v="XKO-54097-932"/>
    <x v="503"/>
    <x v="605"/>
    <s v="E-M-0.5"/>
    <x v="1"/>
    <x v="0"/>
    <x v="1"/>
    <s v="Janella Millett"/>
    <s v="Durham"/>
    <s v="United States"/>
    <x v="0"/>
    <x v="4"/>
    <n v="8.25"/>
    <x v="168"/>
  </r>
  <r>
    <s v="VEM-79839-466"/>
    <x v="504"/>
    <x v="605"/>
    <s v="R-L-2.5"/>
    <x v="0"/>
    <x v="1"/>
    <x v="3"/>
    <s v="Janella Millett"/>
    <s v="Durham"/>
    <s v="United States"/>
    <x v="0"/>
    <x v="1"/>
    <n v="27.484999999999999"/>
    <x v="188"/>
  </r>
  <r>
    <s v="HXA-72415-025"/>
    <x v="505"/>
    <x v="606"/>
    <s v="A-D-2.5"/>
    <x v="2"/>
    <x v="2"/>
    <x v="3"/>
    <s v="Dollie Gadsden"/>
    <s v="Cluain Meala"/>
    <s v="Ireland"/>
    <x v="0"/>
    <x v="0"/>
    <n v="22.885000000000002"/>
    <x v="135"/>
  </r>
  <r>
    <s v="MJF-20065-335"/>
    <x v="497"/>
    <x v="607"/>
    <s v="E-L-0.5"/>
    <x v="1"/>
    <x v="1"/>
    <x v="1"/>
    <s v="Val Wakelin"/>
    <s v="Lansing"/>
    <s v="United States"/>
    <x v="1"/>
    <x v="2"/>
    <n v="8.91"/>
    <x v="119"/>
  </r>
  <r>
    <s v="GFI-83300-059"/>
    <x v="501"/>
    <x v="608"/>
    <s v="A-M-0.2"/>
    <x v="2"/>
    <x v="0"/>
    <x v="2"/>
    <s v="Annie Campsall"/>
    <s v="Houston"/>
    <s v="United States"/>
    <x v="0"/>
    <x v="2"/>
    <n v="3.375"/>
    <x v="15"/>
  </r>
  <r>
    <s v="WJR-51493-682"/>
    <x v="3"/>
    <x v="609"/>
    <s v="L-D-2.5"/>
    <x v="3"/>
    <x v="2"/>
    <x v="3"/>
    <s v="Shermy Moseby"/>
    <s v="Murfreesboro"/>
    <s v="United States"/>
    <x v="1"/>
    <x v="1"/>
    <n v="29.785"/>
    <x v="74"/>
  </r>
  <r>
    <s v="SHP-55648-472"/>
    <x v="506"/>
    <x v="610"/>
    <s v="A-M-1"/>
    <x v="2"/>
    <x v="0"/>
    <x v="0"/>
    <s v="Corrie Wass"/>
    <s v="Charleston"/>
    <s v="United States"/>
    <x v="1"/>
    <x v="2"/>
    <n v="11.25"/>
    <x v="173"/>
  </r>
  <r>
    <s v="HYR-03455-684"/>
    <x v="507"/>
    <x v="611"/>
    <s v="E-D-1"/>
    <x v="1"/>
    <x v="2"/>
    <x v="0"/>
    <s v="Ira Sjostrom"/>
    <s v="Erie"/>
    <s v="United States"/>
    <x v="1"/>
    <x v="2"/>
    <n v="12.15"/>
    <x v="118"/>
  </r>
  <r>
    <s v="HYR-03455-684"/>
    <x v="507"/>
    <x v="611"/>
    <s v="L-D-0.2"/>
    <x v="3"/>
    <x v="2"/>
    <x v="2"/>
    <s v="Ira Sjostrom"/>
    <s v="Erie"/>
    <s v="United States"/>
    <x v="1"/>
    <x v="0"/>
    <n v="3.8849999999999998"/>
    <x v="5"/>
  </r>
  <r>
    <s v="HUG-52766-375"/>
    <x v="508"/>
    <x v="612"/>
    <s v="A-D-2.5"/>
    <x v="2"/>
    <x v="2"/>
    <x v="3"/>
    <s v="Jermaine Branchett"/>
    <s v="Lubbock"/>
    <s v="United States"/>
    <x v="1"/>
    <x v="5"/>
    <n v="22.885000000000002"/>
    <x v="28"/>
  </r>
  <r>
    <s v="DAH-46595-917"/>
    <x v="509"/>
    <x v="613"/>
    <s v="A-D-1"/>
    <x v="2"/>
    <x v="2"/>
    <x v="0"/>
    <s v="Nissie Rudland"/>
    <s v="Gorey"/>
    <s v="Ireland"/>
    <x v="1"/>
    <x v="2"/>
    <n v="9.9499999999999993"/>
    <x v="3"/>
  </r>
  <r>
    <s v="OWH-11126-533"/>
    <x v="131"/>
    <x v="614"/>
    <s v="L-M-2.5"/>
    <x v="3"/>
    <x v="0"/>
    <x v="3"/>
    <s v="Ferdie Tourry"/>
    <s v="Florence"/>
    <s v="United States"/>
    <x v="1"/>
    <x v="0"/>
    <n v="33.465000000000003"/>
    <x v="175"/>
  </r>
  <r>
    <s v="UMT-26130-151"/>
    <x v="510"/>
    <x v="615"/>
    <s v="L-M-0.2"/>
    <x v="3"/>
    <x v="0"/>
    <x v="2"/>
    <s v="Cecil Weatherall"/>
    <s v="Syracuse"/>
    <s v="United States"/>
    <x v="0"/>
    <x v="4"/>
    <n v="4.3650000000000002"/>
    <x v="73"/>
  </r>
  <r>
    <s v="JKA-27899-806"/>
    <x v="511"/>
    <x v="616"/>
    <s v="R-L-1"/>
    <x v="0"/>
    <x v="1"/>
    <x v="0"/>
    <s v="Gale Heindrick"/>
    <s v="Lawrenceville"/>
    <s v="United States"/>
    <x v="1"/>
    <x v="1"/>
    <n v="11.95"/>
    <x v="143"/>
  </r>
  <r>
    <s v="ULU-07744-724"/>
    <x v="512"/>
    <x v="617"/>
    <s v="L-M-0.5"/>
    <x v="3"/>
    <x v="0"/>
    <x v="1"/>
    <s v="Layne Imason"/>
    <s v="Houston"/>
    <s v="United States"/>
    <x v="0"/>
    <x v="1"/>
    <n v="8.73"/>
    <x v="38"/>
  </r>
  <r>
    <s v="NOM-56457-507"/>
    <x v="513"/>
    <x v="618"/>
    <s v="E-M-1"/>
    <x v="1"/>
    <x v="0"/>
    <x v="0"/>
    <s v="Hazel Saill"/>
    <s v="Kansas City"/>
    <s v="United States"/>
    <x v="0"/>
    <x v="2"/>
    <n v="13.75"/>
    <x v="121"/>
  </r>
  <r>
    <s v="NZN-71683-705"/>
    <x v="514"/>
    <x v="619"/>
    <s v="A-L-2.5"/>
    <x v="2"/>
    <x v="1"/>
    <x v="3"/>
    <s v="Hermann Larvor"/>
    <s v="Bradenton"/>
    <s v="United States"/>
    <x v="0"/>
    <x v="2"/>
    <n v="29.785"/>
    <x v="40"/>
  </r>
  <r>
    <s v="WMA-34232-850"/>
    <x v="13"/>
    <x v="620"/>
    <s v="L-D-2.5"/>
    <x v="3"/>
    <x v="2"/>
    <x v="3"/>
    <s v="Terri Lyford"/>
    <s v="Allentown"/>
    <s v="United States"/>
    <x v="0"/>
    <x v="5"/>
    <n v="29.785"/>
    <x v="129"/>
  </r>
  <r>
    <s v="EZL-27919-704"/>
    <x v="481"/>
    <x v="621"/>
    <s v="L-L-0.5"/>
    <x v="3"/>
    <x v="1"/>
    <x v="1"/>
    <s v="Gabey Cogan"/>
    <s v="Hampton"/>
    <s v="United States"/>
    <x v="1"/>
    <x v="1"/>
    <n v="9.51"/>
    <x v="46"/>
  </r>
  <r>
    <s v="ZYU-11345-774"/>
    <x v="515"/>
    <x v="622"/>
    <s v="L-M-0.5"/>
    <x v="3"/>
    <x v="0"/>
    <x v="1"/>
    <s v="Charin Penwarden"/>
    <s v="Whitegate"/>
    <s v="Ireland"/>
    <x v="1"/>
    <x v="1"/>
    <n v="8.73"/>
    <x v="38"/>
  </r>
  <r>
    <s v="CPW-34587-459"/>
    <x v="516"/>
    <x v="623"/>
    <s v="A-L-2.5"/>
    <x v="2"/>
    <x v="1"/>
    <x v="3"/>
    <s v="Milty Middis"/>
    <s v="Wichita"/>
    <s v="United States"/>
    <x v="0"/>
    <x v="2"/>
    <n v="29.785"/>
    <x v="40"/>
  </r>
  <r>
    <s v="NQZ-82067-394"/>
    <x v="517"/>
    <x v="624"/>
    <s v="R-L-2.5"/>
    <x v="0"/>
    <x v="1"/>
    <x v="3"/>
    <s v="Adrianne Vairow"/>
    <s v="Thorpe"/>
    <s v="United Kingdom"/>
    <x v="1"/>
    <x v="3"/>
    <n v="27.484999999999999"/>
    <x v="142"/>
  </r>
  <r>
    <s v="JBW-95055-851"/>
    <x v="518"/>
    <x v="625"/>
    <s v="A-M-1"/>
    <x v="2"/>
    <x v="0"/>
    <x v="0"/>
    <s v="Anjanette Goldie"/>
    <s v="Danbury"/>
    <s v="United States"/>
    <x v="1"/>
    <x v="1"/>
    <n v="11.25"/>
    <x v="126"/>
  </r>
  <r>
    <s v="AHY-20324-088"/>
    <x v="519"/>
    <x v="626"/>
    <s v="L-L-0.2"/>
    <x v="3"/>
    <x v="1"/>
    <x v="2"/>
    <s v="Nicky Ayris"/>
    <s v="Kinloch"/>
    <s v="United Kingdom"/>
    <x v="0"/>
    <x v="0"/>
    <n v="4.7549999999999999"/>
    <x v="54"/>
  </r>
  <r>
    <s v="ZSL-66684-103"/>
    <x v="520"/>
    <x v="627"/>
    <s v="E-M-0.2"/>
    <x v="1"/>
    <x v="0"/>
    <x v="2"/>
    <s v="Laryssa Benediktovich"/>
    <s v="Jacksonville"/>
    <s v="United States"/>
    <x v="0"/>
    <x v="0"/>
    <n v="4.125"/>
    <x v="112"/>
  </r>
  <r>
    <s v="WNE-73911-475"/>
    <x v="521"/>
    <x v="628"/>
    <s v="L-D-0.5"/>
    <x v="3"/>
    <x v="2"/>
    <x v="1"/>
    <s v="Theo Jacobovitz"/>
    <s v="Houston"/>
    <s v="United States"/>
    <x v="1"/>
    <x v="2"/>
    <n v="7.77"/>
    <x v="162"/>
  </r>
  <r>
    <s v="EZB-68383-559"/>
    <x v="419"/>
    <x v="629"/>
    <s v="R-L-1"/>
    <x v="0"/>
    <x v="1"/>
    <x v="0"/>
    <s v="Becca Ableson"/>
    <s v="Portland"/>
    <s v="United States"/>
    <x v="1"/>
    <x v="2"/>
    <n v="11.95"/>
    <x v="144"/>
  </r>
  <r>
    <s v="OVO-01283-090"/>
    <x v="122"/>
    <x v="630"/>
    <s v="L-L-2.5"/>
    <x v="3"/>
    <x v="1"/>
    <x v="3"/>
    <s v="Jeno Druitt"/>
    <s v="Pasadena"/>
    <s v="United States"/>
    <x v="0"/>
    <x v="0"/>
    <n v="36.454999999999998"/>
    <x v="39"/>
  </r>
  <r>
    <s v="TXH-78646-919"/>
    <x v="424"/>
    <x v="631"/>
    <s v="R-D-0.2"/>
    <x v="0"/>
    <x v="2"/>
    <x v="2"/>
    <s v="Deonne Shortall"/>
    <s v="Santa Ana"/>
    <s v="United States"/>
    <x v="0"/>
    <x v="4"/>
    <n v="2.6850000000000001"/>
    <x v="37"/>
  </r>
  <r>
    <s v="CYZ-37122-164"/>
    <x v="465"/>
    <x v="632"/>
    <s v="E-M-0.5"/>
    <x v="1"/>
    <x v="0"/>
    <x v="1"/>
    <s v="Wilton Cottier"/>
    <s v="San Jose"/>
    <s v="United States"/>
    <x v="1"/>
    <x v="0"/>
    <n v="8.25"/>
    <x v="8"/>
  </r>
  <r>
    <s v="AGQ-06534-750"/>
    <x v="277"/>
    <x v="633"/>
    <s v="A-L-1"/>
    <x v="2"/>
    <x v="1"/>
    <x v="0"/>
    <s v="Kevan Grinsted"/>
    <s v="Tallaght"/>
    <s v="Ireland"/>
    <x v="1"/>
    <x v="1"/>
    <n v="12.95"/>
    <x v="189"/>
  </r>
  <r>
    <s v="QVL-32245-818"/>
    <x v="522"/>
    <x v="634"/>
    <s v="A-M-0.5"/>
    <x v="2"/>
    <x v="0"/>
    <x v="1"/>
    <s v="Dionne Skyner"/>
    <s v="Colorado Springs"/>
    <s v="United States"/>
    <x v="1"/>
    <x v="1"/>
    <n v="6.75"/>
    <x v="65"/>
  </r>
  <r>
    <s v="LTD-96842-834"/>
    <x v="523"/>
    <x v="635"/>
    <s v="L-D-2.5"/>
    <x v="3"/>
    <x v="2"/>
    <x v="3"/>
    <s v="Francesco Dressel"/>
    <s v="Toledo"/>
    <s v="United States"/>
    <x v="1"/>
    <x v="2"/>
    <n v="29.785"/>
    <x v="40"/>
  </r>
  <r>
    <s v="SEC-91807-425"/>
    <x v="260"/>
    <x v="636"/>
    <s v="A-M-1"/>
    <x v="2"/>
    <x v="0"/>
    <x v="0"/>
    <s v="Jimmy Dymoke"/>
    <s v="Beaumont"/>
    <s v="Ireland"/>
    <x v="1"/>
    <x v="0"/>
    <n v="11.25"/>
    <x v="122"/>
  </r>
  <r>
    <s v="THE-61147-027"/>
    <x v="157"/>
    <x v="636"/>
    <s v="L-D-1"/>
    <x v="3"/>
    <x v="2"/>
    <x v="0"/>
    <s v="Jimmy Dymoke"/>
    <s v="Beaumont"/>
    <s v="Ireland"/>
    <x v="1"/>
    <x v="0"/>
    <n v="12.95"/>
    <x v="109"/>
  </r>
  <r>
    <s v="LXK-00634-611"/>
    <x v="524"/>
    <x v="636"/>
    <s v="R-L-1"/>
    <x v="0"/>
    <x v="1"/>
    <x v="0"/>
    <s v="Jimmy Dymoke"/>
    <s v="Beaumont"/>
    <s v="Ireland"/>
    <x v="1"/>
    <x v="4"/>
    <n v="11.95"/>
    <x v="66"/>
  </r>
  <r>
    <s v="TCX-76953-071"/>
    <x v="525"/>
    <x v="636"/>
    <s v="E-D-0.2"/>
    <x v="1"/>
    <x v="2"/>
    <x v="2"/>
    <s v="Jimmy Dymoke"/>
    <s v="Beaumont"/>
    <s v="Ireland"/>
    <x v="1"/>
    <x v="1"/>
    <n v="3.645"/>
    <x v="94"/>
  </r>
  <r>
    <s v="DCI-96254-548"/>
    <x v="526"/>
    <x v="636"/>
    <s v="A-D-0.2"/>
    <x v="2"/>
    <x v="2"/>
    <x v="2"/>
    <s v="Jimmy Dymoke"/>
    <s v="Beaumont"/>
    <s v="Ireland"/>
    <x v="1"/>
    <x v="2"/>
    <n v="2.9849999999999999"/>
    <x v="13"/>
  </r>
  <r>
    <s v="MHM-44857-599"/>
    <x v="332"/>
    <x v="637"/>
    <s v="L-D-1"/>
    <x v="3"/>
    <x v="2"/>
    <x v="0"/>
    <s v="Ambrosio Weinmann"/>
    <s v="Cincinnati"/>
    <s v="United States"/>
    <x v="1"/>
    <x v="3"/>
    <n v="12.95"/>
    <x v="4"/>
  </r>
  <r>
    <s v="KGC-95046-911"/>
    <x v="527"/>
    <x v="638"/>
    <s v="A-M-2.5"/>
    <x v="2"/>
    <x v="0"/>
    <x v="3"/>
    <s v="Elden Andriessen"/>
    <s v="Saint Louis"/>
    <s v="United States"/>
    <x v="0"/>
    <x v="0"/>
    <n v="25.875"/>
    <x v="95"/>
  </r>
  <r>
    <s v="RZC-75150-413"/>
    <x v="528"/>
    <x v="639"/>
    <s v="E-D-0.5"/>
    <x v="1"/>
    <x v="2"/>
    <x v="1"/>
    <s v="Roxie Deaconson"/>
    <s v="Yonkers"/>
    <s v="United States"/>
    <x v="1"/>
    <x v="1"/>
    <n v="7.29"/>
    <x v="114"/>
  </r>
  <r>
    <s v="EYH-88288-452"/>
    <x v="529"/>
    <x v="640"/>
    <s v="L-L-2.5"/>
    <x v="3"/>
    <x v="1"/>
    <x v="3"/>
    <s v="Davida Caro"/>
    <s v="Baltimore"/>
    <s v="United States"/>
    <x v="0"/>
    <x v="1"/>
    <n v="36.454999999999998"/>
    <x v="134"/>
  </r>
  <r>
    <s v="NYQ-24237-772"/>
    <x v="105"/>
    <x v="641"/>
    <s v="L-D-0.5"/>
    <x v="3"/>
    <x v="2"/>
    <x v="1"/>
    <s v="Johna Bluck"/>
    <s v="Jacksonville"/>
    <s v="United States"/>
    <x v="1"/>
    <x v="5"/>
    <n v="7.77"/>
    <x v="113"/>
  </r>
  <r>
    <s v="WKB-21680-566"/>
    <x v="491"/>
    <x v="642"/>
    <s v="A-M-0.5"/>
    <x v="2"/>
    <x v="0"/>
    <x v="1"/>
    <s v="Myrle Dearden"/>
    <s v="Bayside"/>
    <s v="Ireland"/>
    <x v="1"/>
    <x v="4"/>
    <n v="6.75"/>
    <x v="15"/>
  </r>
  <r>
    <s v="PTY-86420-119"/>
    <x v="530"/>
    <x v="643"/>
    <s v="A-D-0.5"/>
    <x v="2"/>
    <x v="2"/>
    <x v="1"/>
    <s v="Orland Tadman"/>
    <s v="Miami"/>
    <s v="United States"/>
    <x v="0"/>
    <x v="5"/>
    <n v="5.97"/>
    <x v="86"/>
  </r>
  <r>
    <s v="QHL-27188-431"/>
    <x v="531"/>
    <x v="644"/>
    <s v="L-L-0.5"/>
    <x v="3"/>
    <x v="1"/>
    <x v="1"/>
    <s v="Barrett Gudde"/>
    <s v="San Francisco"/>
    <s v="United States"/>
    <x v="1"/>
    <x v="0"/>
    <n v="9.51"/>
    <x v="81"/>
  </r>
  <r>
    <s v="MIS-54381-047"/>
    <x v="100"/>
    <x v="645"/>
    <s v="A-D-0.5"/>
    <x v="2"/>
    <x v="2"/>
    <x v="1"/>
    <s v="Nathan Sictornes"/>
    <s v="Sandyford"/>
    <s v="Ireland"/>
    <x v="0"/>
    <x v="1"/>
    <n v="5.97"/>
    <x v="44"/>
  </r>
  <r>
    <s v="TBB-29780-459"/>
    <x v="532"/>
    <x v="646"/>
    <s v="A-L-0.5"/>
    <x v="2"/>
    <x v="1"/>
    <x v="1"/>
    <s v="Vivyan Dunning"/>
    <s v="Punta Gorda"/>
    <s v="United States"/>
    <x v="0"/>
    <x v="3"/>
    <n v="7.77"/>
    <x v="5"/>
  </r>
  <r>
    <s v="QLC-52637-305"/>
    <x v="533"/>
    <x v="647"/>
    <s v="L-D-2.5"/>
    <x v="3"/>
    <x v="2"/>
    <x v="3"/>
    <s v="Doralin Baison"/>
    <s v="Ballivor"/>
    <s v="Ireland"/>
    <x v="0"/>
    <x v="5"/>
    <n v="29.785"/>
    <x v="129"/>
  </r>
  <r>
    <s v="CWT-27056-328"/>
    <x v="534"/>
    <x v="648"/>
    <s v="E-D-0.2"/>
    <x v="1"/>
    <x v="2"/>
    <x v="2"/>
    <s v="Josefina Ferens"/>
    <s v="New York City"/>
    <s v="United States"/>
    <x v="0"/>
    <x v="2"/>
    <n v="3.645"/>
    <x v="10"/>
  </r>
  <r>
    <s v="ASS-05878-128"/>
    <x v="211"/>
    <x v="649"/>
    <s v="E-L-0.5"/>
    <x v="1"/>
    <x v="1"/>
    <x v="1"/>
    <s v="Shelley Gehring"/>
    <s v="Spartanburg"/>
    <s v="United States"/>
    <x v="1"/>
    <x v="0"/>
    <n v="8.91"/>
    <x v="58"/>
  </r>
  <r>
    <s v="EGK-03027-418"/>
    <x v="535"/>
    <x v="650"/>
    <s v="E-M-0.2"/>
    <x v="1"/>
    <x v="0"/>
    <x v="2"/>
    <s v="Barrie Fallowes"/>
    <s v="Bakersfield"/>
    <s v="United States"/>
    <x v="1"/>
    <x v="4"/>
    <n v="4.125"/>
    <x v="32"/>
  </r>
  <r>
    <s v="KCY-61732-849"/>
    <x v="536"/>
    <x v="651"/>
    <s v="L-D-1"/>
    <x v="3"/>
    <x v="2"/>
    <x v="0"/>
    <s v="Nicolas Aiton"/>
    <s v="Dungarvan"/>
    <s v="Ireland"/>
    <x v="1"/>
    <x v="0"/>
    <n v="12.95"/>
    <x v="109"/>
  </r>
  <r>
    <s v="BLI-21697-702"/>
    <x v="537"/>
    <x v="652"/>
    <s v="A-M-0.5"/>
    <x v="2"/>
    <x v="0"/>
    <x v="1"/>
    <s v="Shelli De Banke"/>
    <s v="Saint Louis"/>
    <s v="United States"/>
    <x v="0"/>
    <x v="0"/>
    <n v="6.75"/>
    <x v="72"/>
  </r>
  <r>
    <s v="KFJ-46568-890"/>
    <x v="538"/>
    <x v="653"/>
    <s v="E-L-0.5"/>
    <x v="1"/>
    <x v="1"/>
    <x v="1"/>
    <s v="Lyell Murch"/>
    <s v="Fort Wayne"/>
    <s v="United States"/>
    <x v="0"/>
    <x v="0"/>
    <n v="8.91"/>
    <x v="58"/>
  </r>
  <r>
    <s v="SOK-43535-680"/>
    <x v="539"/>
    <x v="654"/>
    <s v="E-M-0.5"/>
    <x v="1"/>
    <x v="0"/>
    <x v="1"/>
    <s v="Stearne Count"/>
    <s v="Young America"/>
    <s v="United States"/>
    <x v="1"/>
    <x v="4"/>
    <n v="8.25"/>
    <x v="168"/>
  </r>
  <r>
    <s v="XUE-87260-201"/>
    <x v="540"/>
    <x v="655"/>
    <s v="R-M-0.2"/>
    <x v="0"/>
    <x v="0"/>
    <x v="2"/>
    <s v="Selia Ragles"/>
    <s v="Fort Smith"/>
    <s v="United States"/>
    <x v="1"/>
    <x v="2"/>
    <n v="2.9849999999999999"/>
    <x v="13"/>
  </r>
  <r>
    <s v="CZF-40873-691"/>
    <x v="61"/>
    <x v="656"/>
    <s v="E-M-0.5"/>
    <x v="1"/>
    <x v="0"/>
    <x v="1"/>
    <s v="Silas Deehan"/>
    <s v="Charlton"/>
    <s v="United Kingdom"/>
    <x v="1"/>
    <x v="0"/>
    <n v="8.25"/>
    <x v="8"/>
  </r>
  <r>
    <s v="AIA-98989-755"/>
    <x v="242"/>
    <x v="657"/>
    <s v="R-M-0.2"/>
    <x v="0"/>
    <x v="0"/>
    <x v="2"/>
    <s v="Sacha Bruun"/>
    <s v="Stockton"/>
    <s v="United States"/>
    <x v="1"/>
    <x v="3"/>
    <n v="2.9849999999999999"/>
    <x v="55"/>
  </r>
  <r>
    <s v="ITZ-21793-986"/>
    <x v="300"/>
    <x v="658"/>
    <s v="E-D-0.2"/>
    <x v="1"/>
    <x v="2"/>
    <x v="2"/>
    <s v="Alon Pllu"/>
    <s v="Navan"/>
    <s v="Ireland"/>
    <x v="0"/>
    <x v="5"/>
    <n v="3.645"/>
    <x v="18"/>
  </r>
  <r>
    <s v="YOK-93322-608"/>
    <x v="344"/>
    <x v="659"/>
    <s v="E-L-1"/>
    <x v="1"/>
    <x v="1"/>
    <x v="0"/>
    <s v="Gilberto Cornier"/>
    <s v="Tampa"/>
    <s v="United States"/>
    <x v="1"/>
    <x v="2"/>
    <n v="14.85"/>
    <x v="146"/>
  </r>
  <r>
    <s v="CQW-37388-302"/>
    <x v="541"/>
    <x v="660"/>
    <s v="A-D-2.5"/>
    <x v="2"/>
    <x v="2"/>
    <x v="3"/>
    <s v="Willabella Harvison"/>
    <s v="Philadelphia"/>
    <s v="United States"/>
    <x v="1"/>
    <x v="4"/>
    <n v="22.885000000000002"/>
    <x v="96"/>
  </r>
  <r>
    <s v="SPA-79365-334"/>
    <x v="28"/>
    <x v="661"/>
    <s v="L-D-1"/>
    <x v="3"/>
    <x v="2"/>
    <x v="0"/>
    <s v="Darice Heaford"/>
    <s v="San Angelo"/>
    <s v="United States"/>
    <x v="1"/>
    <x v="4"/>
    <n v="12.95"/>
    <x v="9"/>
  </r>
  <r>
    <s v="VPX-08817-517"/>
    <x v="542"/>
    <x v="662"/>
    <s v="L-L-1"/>
    <x v="3"/>
    <x v="1"/>
    <x v="0"/>
    <s v="Granger Fantham"/>
    <s v="Los Angeles"/>
    <s v="United States"/>
    <x v="0"/>
    <x v="1"/>
    <n v="15.85"/>
    <x v="181"/>
  </r>
  <r>
    <s v="PBP-87115-410"/>
    <x v="543"/>
    <x v="663"/>
    <s v="E-D-0.5"/>
    <x v="1"/>
    <x v="2"/>
    <x v="1"/>
    <s v="Reynolds Crookshanks"/>
    <s v="Lansing"/>
    <s v="United States"/>
    <x v="0"/>
    <x v="1"/>
    <n v="7.29"/>
    <x v="114"/>
  </r>
  <r>
    <s v="SFB-93752-440"/>
    <x v="390"/>
    <x v="664"/>
    <s v="R-M-0.2"/>
    <x v="0"/>
    <x v="0"/>
    <x v="2"/>
    <s v="Niels Leake"/>
    <s v="Clearwater"/>
    <s v="United States"/>
    <x v="0"/>
    <x v="4"/>
    <n v="2.9849999999999999"/>
    <x v="170"/>
  </r>
  <r>
    <s v="TBU-65158-068"/>
    <x v="396"/>
    <x v="665"/>
    <s v="E-D-1"/>
    <x v="1"/>
    <x v="2"/>
    <x v="0"/>
    <s v="Hetti Measures"/>
    <s v="Whittier"/>
    <s v="United States"/>
    <x v="1"/>
    <x v="0"/>
    <n v="12.15"/>
    <x v="76"/>
  </r>
  <r>
    <s v="TEH-08414-216"/>
    <x v="186"/>
    <x v="666"/>
    <s v="E-M-2.5"/>
    <x v="1"/>
    <x v="0"/>
    <x v="3"/>
    <s v="Gay Eilhersen"/>
    <s v="Fresno"/>
    <s v="United States"/>
    <x v="1"/>
    <x v="0"/>
    <n v="31.625"/>
    <x v="41"/>
  </r>
  <r>
    <s v="MAY-77231-536"/>
    <x v="544"/>
    <x v="667"/>
    <s v="A-M-0.2"/>
    <x v="2"/>
    <x v="0"/>
    <x v="2"/>
    <s v="Nico Hubert"/>
    <s v="New York City"/>
    <s v="United States"/>
    <x v="0"/>
    <x v="0"/>
    <n v="3.375"/>
    <x v="52"/>
  </r>
  <r>
    <s v="ATY-28980-884"/>
    <x v="118"/>
    <x v="668"/>
    <s v="A-L-0.2"/>
    <x v="2"/>
    <x v="1"/>
    <x v="2"/>
    <s v="Cristina Aleixo"/>
    <s v="Colorado Springs"/>
    <s v="United States"/>
    <x v="1"/>
    <x v="2"/>
    <n v="3.8849999999999998"/>
    <x v="102"/>
  </r>
  <r>
    <s v="SWP-88281-918"/>
    <x v="545"/>
    <x v="669"/>
    <s v="L-L-2.5"/>
    <x v="3"/>
    <x v="1"/>
    <x v="3"/>
    <s v="Derrek Allpress"/>
    <s v="Long Beach"/>
    <s v="United States"/>
    <x v="1"/>
    <x v="5"/>
    <n v="36.454999999999998"/>
    <x v="43"/>
  </r>
  <r>
    <s v="VCE-56531-986"/>
    <x v="546"/>
    <x v="670"/>
    <s v="R-M-0.5"/>
    <x v="0"/>
    <x v="0"/>
    <x v="1"/>
    <s v="Rikki Tomkowicz"/>
    <s v="Lusk"/>
    <s v="Ireland"/>
    <x v="0"/>
    <x v="1"/>
    <n v="5.97"/>
    <x v="44"/>
  </r>
  <r>
    <s v="FVV-75700-005"/>
    <x v="547"/>
    <x v="671"/>
    <s v="E-D-0.5"/>
    <x v="1"/>
    <x v="2"/>
    <x v="1"/>
    <s v="Rochette Huscroft"/>
    <s v="Reno"/>
    <s v="United States"/>
    <x v="0"/>
    <x v="4"/>
    <n v="7.29"/>
    <x v="10"/>
  </r>
  <r>
    <s v="CFZ-53492-600"/>
    <x v="548"/>
    <x v="672"/>
    <s v="L-M-0.2"/>
    <x v="3"/>
    <x v="0"/>
    <x v="2"/>
    <s v="Selle Scurrer"/>
    <s v="Upton"/>
    <s v="United Kingdom"/>
    <x v="1"/>
    <x v="3"/>
    <n v="4.3650000000000002"/>
    <x v="190"/>
  </r>
  <r>
    <s v="LDK-71031-121"/>
    <x v="421"/>
    <x v="673"/>
    <s v="L-L-2.5"/>
    <x v="3"/>
    <x v="1"/>
    <x v="3"/>
    <s v="Andie Rudram"/>
    <s v="Las Vegas"/>
    <s v="United States"/>
    <x v="1"/>
    <x v="3"/>
    <n v="36.454999999999998"/>
    <x v="133"/>
  </r>
  <r>
    <s v="EBA-82404-343"/>
    <x v="549"/>
    <x v="674"/>
    <s v="L-D-0.2"/>
    <x v="3"/>
    <x v="2"/>
    <x v="2"/>
    <s v="Leta Clarricoates"/>
    <s v="Wilmington"/>
    <s v="United States"/>
    <x v="0"/>
    <x v="5"/>
    <n v="3.8849999999999998"/>
    <x v="42"/>
  </r>
  <r>
    <s v="USA-42811-560"/>
    <x v="550"/>
    <x v="675"/>
    <s v="E-L-0.2"/>
    <x v="1"/>
    <x v="1"/>
    <x v="2"/>
    <s v="Jacquelyn Maha"/>
    <s v="Reno"/>
    <s v="United States"/>
    <x v="1"/>
    <x v="0"/>
    <n v="4.4550000000000001"/>
    <x v="161"/>
  </r>
  <r>
    <s v="SNL-83703-516"/>
    <x v="551"/>
    <x v="676"/>
    <s v="L-M-2.5"/>
    <x v="3"/>
    <x v="0"/>
    <x v="3"/>
    <s v="Glory Clemon"/>
    <s v="Tuscaloosa"/>
    <s v="United States"/>
    <x v="0"/>
    <x v="4"/>
    <n v="33.465000000000003"/>
    <x v="64"/>
  </r>
  <r>
    <s v="SUZ-83036-175"/>
    <x v="552"/>
    <x v="677"/>
    <s v="R-D-0.2"/>
    <x v="0"/>
    <x v="2"/>
    <x v="2"/>
    <s v="Alica Kift"/>
    <s v="Garden Grove"/>
    <s v="United States"/>
    <x v="1"/>
    <x v="1"/>
    <n v="2.6850000000000001"/>
    <x v="148"/>
  </r>
  <r>
    <s v="RGM-01187-513"/>
    <x v="553"/>
    <x v="678"/>
    <s v="E-D-0.2"/>
    <x v="1"/>
    <x v="2"/>
    <x v="2"/>
    <s v="Babb Pollins"/>
    <s v="Shawnee Mission"/>
    <s v="United States"/>
    <x v="1"/>
    <x v="2"/>
    <n v="3.645"/>
    <x v="10"/>
  </r>
  <r>
    <s v="CZG-01299-952"/>
    <x v="554"/>
    <x v="679"/>
    <s v="L-D-1"/>
    <x v="3"/>
    <x v="2"/>
    <x v="0"/>
    <s v="Jarret Toye"/>
    <s v="Ballivor"/>
    <s v="Ireland"/>
    <x v="0"/>
    <x v="0"/>
    <n v="12.95"/>
    <x v="109"/>
  </r>
  <r>
    <s v="KLD-88731-484"/>
    <x v="555"/>
    <x v="680"/>
    <s v="A-M-1"/>
    <x v="2"/>
    <x v="0"/>
    <x v="0"/>
    <s v="Carlie Linskill"/>
    <s v="Cincinnati"/>
    <s v="United States"/>
    <x v="1"/>
    <x v="1"/>
    <n v="11.25"/>
    <x v="126"/>
  </r>
  <r>
    <s v="BQK-38412-229"/>
    <x v="556"/>
    <x v="681"/>
    <s v="R-L-0.2"/>
    <x v="0"/>
    <x v="1"/>
    <x v="2"/>
    <s v="Natal Vigrass"/>
    <s v="Whitwell"/>
    <s v="United Kingdom"/>
    <x v="1"/>
    <x v="4"/>
    <n v="3.585"/>
    <x v="127"/>
  </r>
  <r>
    <s v="LIN-88046-551"/>
    <x v="150"/>
    <x v="682"/>
    <s v="R-L-0.5"/>
    <x v="0"/>
    <x v="1"/>
    <x v="1"/>
    <s v="Kandace Cragell"/>
    <s v="Dungarvan"/>
    <s v="Ireland"/>
    <x v="1"/>
    <x v="5"/>
    <n v="7.17"/>
    <x v="139"/>
  </r>
  <r>
    <s v="PMV-54491-220"/>
    <x v="557"/>
    <x v="683"/>
    <s v="L-M-0.2"/>
    <x v="3"/>
    <x v="0"/>
    <x v="2"/>
    <s v="Lyon Ibert"/>
    <s v="Sunnyvale"/>
    <s v="United States"/>
    <x v="1"/>
    <x v="0"/>
    <n v="4.3650000000000002"/>
    <x v="34"/>
  </r>
  <r>
    <s v="SKA-73676-005"/>
    <x v="328"/>
    <x v="684"/>
    <s v="L-M-1"/>
    <x v="3"/>
    <x v="0"/>
    <x v="0"/>
    <s v="Reese Lidgey"/>
    <s v="Memphis"/>
    <s v="United States"/>
    <x v="1"/>
    <x v="5"/>
    <n v="14.55"/>
    <x v="125"/>
  </r>
  <r>
    <s v="TKH-62197-239"/>
    <x v="558"/>
    <x v="685"/>
    <s v="A-D-0.5"/>
    <x v="2"/>
    <x v="2"/>
    <x v="1"/>
    <s v="Tersina Castagne"/>
    <s v="Orlando"/>
    <s v="United States"/>
    <x v="1"/>
    <x v="4"/>
    <n v="5.97"/>
    <x v="13"/>
  </r>
  <r>
    <s v="YXF-57218-272"/>
    <x v="334"/>
    <x v="686"/>
    <s v="R-M-0.2"/>
    <x v="0"/>
    <x v="0"/>
    <x v="2"/>
    <s v="Samuele Klaaassen"/>
    <s v="Detroit"/>
    <s v="United States"/>
    <x v="0"/>
    <x v="2"/>
    <n v="2.9849999999999999"/>
    <x v="13"/>
  </r>
  <r>
    <s v="PKJ-30083-501"/>
    <x v="559"/>
    <x v="687"/>
    <s v="E-D-0.5"/>
    <x v="1"/>
    <x v="2"/>
    <x v="1"/>
    <s v="Jordana Halden"/>
    <s v="Clones"/>
    <s v="Ireland"/>
    <x v="1"/>
    <x v="0"/>
    <n v="7.29"/>
    <x v="18"/>
  </r>
  <r>
    <s v="WTT-91832-645"/>
    <x v="560"/>
    <x v="688"/>
    <s v="A-M-1"/>
    <x v="2"/>
    <x v="0"/>
    <x v="0"/>
    <s v="Hussein Olliff"/>
    <s v="Stradbally"/>
    <s v="Ireland"/>
    <x v="1"/>
    <x v="4"/>
    <n v="11.25"/>
    <x v="65"/>
  </r>
  <r>
    <s v="TRZ-94735-865"/>
    <x v="311"/>
    <x v="689"/>
    <s v="L-M-0.5"/>
    <x v="3"/>
    <x v="0"/>
    <x v="1"/>
    <s v="Teddi Quadri"/>
    <s v="Ballina"/>
    <s v="Ireland"/>
    <x v="0"/>
    <x v="5"/>
    <n v="8.73"/>
    <x v="191"/>
  </r>
  <r>
    <s v="UDB-09651-780"/>
    <x v="561"/>
    <x v="690"/>
    <s v="E-D-0.5"/>
    <x v="1"/>
    <x v="2"/>
    <x v="1"/>
    <s v="Felita Eshmade"/>
    <s v="Richmond"/>
    <s v="United States"/>
    <x v="1"/>
    <x v="0"/>
    <n v="7.29"/>
    <x v="18"/>
  </r>
  <r>
    <s v="EHJ-82097-549"/>
    <x v="562"/>
    <x v="691"/>
    <s v="R-D-0.2"/>
    <x v="0"/>
    <x v="2"/>
    <x v="2"/>
    <s v="Melodie OIlier"/>
    <s v="Glasnevin"/>
    <s v="Ireland"/>
    <x v="0"/>
    <x v="0"/>
    <n v="2.6850000000000001"/>
    <x v="147"/>
  </r>
  <r>
    <s v="ZFR-79447-696"/>
    <x v="563"/>
    <x v="692"/>
    <s v="R-M-0.5"/>
    <x v="0"/>
    <x v="0"/>
    <x v="1"/>
    <s v="Hazel Iacopini"/>
    <s v="Fort Worth"/>
    <s v="United States"/>
    <x v="0"/>
    <x v="3"/>
    <n v="5.97"/>
    <x v="14"/>
  </r>
  <r>
    <s v="NUU-03893-975"/>
    <x v="564"/>
    <x v="693"/>
    <s v="L-L-0.5"/>
    <x v="3"/>
    <x v="1"/>
    <x v="1"/>
    <s v="Vinny Shoebotham"/>
    <s v="Brooklyn"/>
    <s v="United States"/>
    <x v="1"/>
    <x v="0"/>
    <n v="9.51"/>
    <x v="81"/>
  </r>
  <r>
    <s v="GVG-59542-307"/>
    <x v="565"/>
    <x v="694"/>
    <s v="E-M-1"/>
    <x v="1"/>
    <x v="0"/>
    <x v="0"/>
    <s v="Bran Sterke"/>
    <s v="Fort Worth"/>
    <s v="United States"/>
    <x v="0"/>
    <x v="0"/>
    <n v="13.75"/>
    <x v="6"/>
  </r>
  <r>
    <s v="YLY-35287-172"/>
    <x v="566"/>
    <x v="695"/>
    <s v="A-D-0.5"/>
    <x v="2"/>
    <x v="2"/>
    <x v="1"/>
    <s v="Simone Capon"/>
    <s v="Phoenix"/>
    <s v="United States"/>
    <x v="1"/>
    <x v="1"/>
    <n v="5.97"/>
    <x v="44"/>
  </r>
  <r>
    <s v="KHZ-26264-253"/>
    <x v="160"/>
    <x v="696"/>
    <s v="L-L-0.2"/>
    <x v="3"/>
    <x v="1"/>
    <x v="2"/>
    <s v="Foster Constance"/>
    <s v="Dallas"/>
    <s v="United States"/>
    <x v="1"/>
    <x v="2"/>
    <n v="4.7549999999999999"/>
    <x v="36"/>
  </r>
  <r>
    <s v="UEA-72681-629"/>
    <x v="458"/>
    <x v="696"/>
    <s v="A-L-2.5"/>
    <x v="2"/>
    <x v="1"/>
    <x v="3"/>
    <s v="Foster Constance"/>
    <s v="Dallas"/>
    <s v="United States"/>
    <x v="1"/>
    <x v="4"/>
    <n v="29.785"/>
    <x v="49"/>
  </r>
  <r>
    <s v="CVE-15042-481"/>
    <x v="567"/>
    <x v="696"/>
    <s v="R-L-1"/>
    <x v="0"/>
    <x v="1"/>
    <x v="0"/>
    <s v="Foster Constance"/>
    <s v="Dallas"/>
    <s v="United States"/>
    <x v="1"/>
    <x v="0"/>
    <n v="11.95"/>
    <x v="179"/>
  </r>
  <r>
    <s v="AAQ-13644-699"/>
    <x v="568"/>
    <x v="697"/>
    <s v="R-D-1"/>
    <x v="0"/>
    <x v="2"/>
    <x v="0"/>
    <s v="Fernando Sulman"/>
    <s v="Asheville"/>
    <s v="United States"/>
    <x v="0"/>
    <x v="5"/>
    <n v="8.9499999999999993"/>
    <x v="192"/>
  </r>
  <r>
    <s v="LWL-68108-794"/>
    <x v="569"/>
    <x v="698"/>
    <s v="A-D-0.5"/>
    <x v="2"/>
    <x v="2"/>
    <x v="1"/>
    <s v="Dorotea Hollyman"/>
    <s v="Billings"/>
    <s v="United States"/>
    <x v="0"/>
    <x v="4"/>
    <n v="5.97"/>
    <x v="13"/>
  </r>
  <r>
    <s v="JQT-14347-517"/>
    <x v="570"/>
    <x v="699"/>
    <s v="R-D-1"/>
    <x v="0"/>
    <x v="2"/>
    <x v="0"/>
    <s v="Lorelei Nardoni"/>
    <s v="Saint Louis"/>
    <s v="United States"/>
    <x v="1"/>
    <x v="3"/>
    <n v="8.9499999999999993"/>
    <x v="193"/>
  </r>
  <r>
    <s v="BMM-86471-923"/>
    <x v="571"/>
    <x v="700"/>
    <s v="L-D-2.5"/>
    <x v="3"/>
    <x v="2"/>
    <x v="3"/>
    <s v="Dallas Yarham"/>
    <s v="Independence"/>
    <s v="United States"/>
    <x v="0"/>
    <x v="3"/>
    <n v="29.785"/>
    <x v="91"/>
  </r>
  <r>
    <s v="IXU-67272-326"/>
    <x v="572"/>
    <x v="701"/>
    <s v="E-L-0.5"/>
    <x v="1"/>
    <x v="1"/>
    <x v="1"/>
    <s v="Arlana Ferrea"/>
    <s v="Greensboro"/>
    <s v="United States"/>
    <x v="1"/>
    <x v="1"/>
    <n v="8.91"/>
    <x v="69"/>
  </r>
  <r>
    <s v="ITE-28312-615"/>
    <x v="139"/>
    <x v="702"/>
    <s v="E-L-1"/>
    <x v="1"/>
    <x v="1"/>
    <x v="0"/>
    <s v="Chuck Kendrick"/>
    <s v="Monroe"/>
    <s v="United States"/>
    <x v="0"/>
    <x v="2"/>
    <n v="14.85"/>
    <x v="146"/>
  </r>
  <r>
    <s v="ZHQ-30471-635"/>
    <x v="304"/>
    <x v="703"/>
    <s v="L-M-0.5"/>
    <x v="3"/>
    <x v="0"/>
    <x v="1"/>
    <s v="Sharona Danilchik"/>
    <s v="Halton"/>
    <s v="United Kingdom"/>
    <x v="1"/>
    <x v="1"/>
    <n v="8.73"/>
    <x v="38"/>
  </r>
  <r>
    <s v="LTP-31133-134"/>
    <x v="573"/>
    <x v="704"/>
    <s v="A-L-0.5"/>
    <x v="2"/>
    <x v="1"/>
    <x v="1"/>
    <s v="Sarajane Potter"/>
    <s v="Fort Worth"/>
    <s v="United States"/>
    <x v="1"/>
    <x v="4"/>
    <n v="7.77"/>
    <x v="102"/>
  </r>
  <r>
    <s v="ZVQ-26122-859"/>
    <x v="574"/>
    <x v="705"/>
    <s v="A-L-2.5"/>
    <x v="2"/>
    <x v="1"/>
    <x v="3"/>
    <s v="Bobby Folomkin"/>
    <s v="Fargo"/>
    <s v="United States"/>
    <x v="0"/>
    <x v="2"/>
    <n v="29.785"/>
    <x v="40"/>
  </r>
  <r>
    <s v="MIU-01481-194"/>
    <x v="575"/>
    <x v="706"/>
    <s v="R-M-1"/>
    <x v="0"/>
    <x v="0"/>
    <x v="0"/>
    <s v="Rafferty Pursglove"/>
    <s v="Garland"/>
    <s v="United States"/>
    <x v="0"/>
    <x v="2"/>
    <n v="9.9499999999999993"/>
    <x v="3"/>
  </r>
  <r>
    <s v="MIU-01481-194"/>
    <x v="575"/>
    <x v="706"/>
    <s v="A-L-0.5"/>
    <x v="2"/>
    <x v="1"/>
    <x v="1"/>
    <s v="Rafferty Pursglove"/>
    <s v="Garland"/>
    <s v="United States"/>
    <x v="0"/>
    <x v="0"/>
    <n v="7.77"/>
    <x v="42"/>
  </r>
  <r>
    <s v="EJA-79176-833"/>
    <x v="576"/>
    <x v="707"/>
    <s v="R-M-2.5"/>
    <x v="0"/>
    <x v="0"/>
    <x v="3"/>
    <s v="Dalia Eburah"/>
    <s v="Birmingham"/>
    <s v="United Kingdom"/>
    <x v="1"/>
    <x v="2"/>
    <n v="22.885000000000002"/>
    <x v="164"/>
  </r>
  <r>
    <s v="AHQ-40440-522"/>
    <x v="577"/>
    <x v="708"/>
    <s v="A-D-1"/>
    <x v="2"/>
    <x v="2"/>
    <x v="0"/>
    <s v="Martie Brimilcombe"/>
    <s v="Springfield"/>
    <s v="United States"/>
    <x v="1"/>
    <x v="3"/>
    <n v="9.9499999999999993"/>
    <x v="138"/>
  </r>
  <r>
    <s v="TID-21626-411"/>
    <x v="578"/>
    <x v="709"/>
    <s v="R-L-0.5"/>
    <x v="0"/>
    <x v="1"/>
    <x v="1"/>
    <s v="Suzanna Bollam"/>
    <s v="Littleton"/>
    <s v="United States"/>
    <x v="1"/>
    <x v="4"/>
    <n v="7.17"/>
    <x v="137"/>
  </r>
  <r>
    <s v="RSR-96390-187"/>
    <x v="579"/>
    <x v="710"/>
    <s v="E-M-1"/>
    <x v="1"/>
    <x v="0"/>
    <x v="0"/>
    <s v="Mellisa Mebes"/>
    <s v="Baltimore"/>
    <s v="United States"/>
    <x v="1"/>
    <x v="2"/>
    <n v="13.75"/>
    <x v="121"/>
  </r>
  <r>
    <s v="BZE-96093-118"/>
    <x v="92"/>
    <x v="711"/>
    <s v="L-M-0.2"/>
    <x v="3"/>
    <x v="0"/>
    <x v="2"/>
    <s v="Alva Filipczak"/>
    <s v="Moycullen"/>
    <s v="Ireland"/>
    <x v="1"/>
    <x v="0"/>
    <n v="4.3650000000000002"/>
    <x v="34"/>
  </r>
  <r>
    <s v="LOU-41819-242"/>
    <x v="273"/>
    <x v="712"/>
    <s v="R-M-1"/>
    <x v="0"/>
    <x v="0"/>
    <x v="0"/>
    <s v="Dorette Hinemoor"/>
    <s v="Fort Lauderdale"/>
    <s v="United States"/>
    <x v="0"/>
    <x v="0"/>
    <n v="9.9499999999999993"/>
    <x v="0"/>
  </r>
  <r>
    <s v="FND-99527-640"/>
    <x v="65"/>
    <x v="713"/>
    <s v="E-L-0.5"/>
    <x v="1"/>
    <x v="1"/>
    <x v="1"/>
    <s v="Rhetta Elnaugh"/>
    <s v="San Diego"/>
    <s v="United States"/>
    <x v="0"/>
    <x v="0"/>
    <n v="8.91"/>
    <x v="58"/>
  </r>
  <r>
    <s v="ASG-27179-958"/>
    <x v="580"/>
    <x v="714"/>
    <s v="A-M-0.5"/>
    <x v="2"/>
    <x v="0"/>
    <x v="1"/>
    <s v="Jule Deehan"/>
    <s v="Dallas"/>
    <s v="United States"/>
    <x v="1"/>
    <x v="4"/>
    <n v="6.75"/>
    <x v="15"/>
  </r>
  <r>
    <s v="YKX-23510-272"/>
    <x v="581"/>
    <x v="715"/>
    <s v="A-L-2.5"/>
    <x v="2"/>
    <x v="1"/>
    <x v="3"/>
    <s v="Janella Eden"/>
    <s v="Joliet"/>
    <s v="United States"/>
    <x v="1"/>
    <x v="0"/>
    <n v="29.785"/>
    <x v="120"/>
  </r>
  <r>
    <s v="FSA-98650-921"/>
    <x v="489"/>
    <x v="716"/>
    <s v="L-L-0.5"/>
    <x v="3"/>
    <x v="1"/>
    <x v="1"/>
    <s v="Cam Jewster"/>
    <s v="Dayton"/>
    <s v="United States"/>
    <x v="0"/>
    <x v="0"/>
    <n v="9.51"/>
    <x v="81"/>
  </r>
  <r>
    <s v="TZD-67261-174"/>
    <x v="582"/>
    <x v="716"/>
    <s v="E-D-2.5"/>
    <x v="1"/>
    <x v="2"/>
    <x v="3"/>
    <s v="Cam Jewster"/>
    <s v="Dayton"/>
    <s v="United States"/>
    <x v="0"/>
    <x v="3"/>
    <n v="27.945"/>
    <x v="140"/>
  </r>
  <r>
    <s v="ZUR-55774-294"/>
    <x v="234"/>
    <x v="717"/>
    <s v="L-D-1"/>
    <x v="3"/>
    <x v="2"/>
    <x v="0"/>
    <s v="Ugo Southerden"/>
    <s v="Clearwater"/>
    <s v="United States"/>
    <x v="0"/>
    <x v="2"/>
    <n v="12.95"/>
    <x v="11"/>
  </r>
  <r>
    <s v="FUO-99821-974"/>
    <x v="175"/>
    <x v="718"/>
    <s v="E-M-1"/>
    <x v="1"/>
    <x v="0"/>
    <x v="0"/>
    <s v="Verne Dunkerley"/>
    <s v="Minneapolis"/>
    <s v="United States"/>
    <x v="1"/>
    <x v="4"/>
    <n v="13.75"/>
    <x v="1"/>
  </r>
  <r>
    <s v="YVH-19865-819"/>
    <x v="583"/>
    <x v="719"/>
    <s v="L-L-2.5"/>
    <x v="3"/>
    <x v="1"/>
    <x v="3"/>
    <s v="Lacee Burtenshaw"/>
    <s v="Lawrenceville"/>
    <s v="United States"/>
    <x v="1"/>
    <x v="5"/>
    <n v="36.454999999999998"/>
    <x v="43"/>
  </r>
  <r>
    <s v="NNF-47422-501"/>
    <x v="584"/>
    <x v="720"/>
    <s v="E-L-0.2"/>
    <x v="1"/>
    <x v="1"/>
    <x v="2"/>
    <s v="Adorne Gregoratti"/>
    <s v="Malahide"/>
    <s v="Ireland"/>
    <x v="1"/>
    <x v="2"/>
    <n v="4.4550000000000001"/>
    <x v="149"/>
  </r>
  <r>
    <s v="RJI-71409-490"/>
    <x v="550"/>
    <x v="721"/>
    <s v="L-M-0.5"/>
    <x v="3"/>
    <x v="0"/>
    <x v="1"/>
    <s v="Chris Croster"/>
    <s v="Tampa"/>
    <s v="United States"/>
    <x v="0"/>
    <x v="1"/>
    <n v="8.73"/>
    <x v="38"/>
  </r>
  <r>
    <s v="UZL-46108-213"/>
    <x v="585"/>
    <x v="722"/>
    <s v="L-L-1"/>
    <x v="3"/>
    <x v="1"/>
    <x v="0"/>
    <s v="Graeme Whitehead"/>
    <s v="Nashville"/>
    <s v="United States"/>
    <x v="1"/>
    <x v="0"/>
    <n v="15.85"/>
    <x v="124"/>
  </r>
  <r>
    <s v="AOX-44467-109"/>
    <x v="64"/>
    <x v="723"/>
    <s v="A-D-2.5"/>
    <x v="2"/>
    <x v="2"/>
    <x v="3"/>
    <s v="Haslett Jodrelle"/>
    <s v="Miami"/>
    <s v="United States"/>
    <x v="1"/>
    <x v="3"/>
    <n v="22.885000000000002"/>
    <x v="157"/>
  </r>
  <r>
    <s v="TBU-64277-625"/>
    <x v="37"/>
    <x v="724"/>
    <s v="E-M-1"/>
    <x v="1"/>
    <x v="0"/>
    <x v="0"/>
    <s v="Beryl Osborn"/>
    <s v="Chicago"/>
    <s v="United States"/>
    <x v="0"/>
    <x v="2"/>
    <n v="13.75"/>
    <x v="121"/>
  </r>
  <r>
    <s v="TYP-85767-944"/>
    <x v="586"/>
    <x v="725"/>
    <s v="R-M-2.5"/>
    <x v="0"/>
    <x v="0"/>
    <x v="3"/>
    <s v="Kaela Nottram"/>
    <s v="Arklow"/>
    <s v="Ireland"/>
    <x v="0"/>
    <x v="0"/>
    <n v="22.885000000000002"/>
    <x v="135"/>
  </r>
  <r>
    <s v="GTT-73214-334"/>
    <x v="538"/>
    <x v="726"/>
    <s v="A-L-1"/>
    <x v="2"/>
    <x v="1"/>
    <x v="0"/>
    <s v="Nobe Buney"/>
    <s v="Richmond"/>
    <s v="United States"/>
    <x v="1"/>
    <x v="2"/>
    <n v="12.95"/>
    <x v="11"/>
  </r>
  <r>
    <s v="WAI-89905-069"/>
    <x v="587"/>
    <x v="727"/>
    <s v="A-L-0.5"/>
    <x v="2"/>
    <x v="1"/>
    <x v="1"/>
    <s v="Silvan McShea"/>
    <s v="Olympia"/>
    <s v="United States"/>
    <x v="1"/>
    <x v="4"/>
    <n v="7.77"/>
    <x v="102"/>
  </r>
  <r>
    <s v="OJL-96844-459"/>
    <x v="393"/>
    <x v="728"/>
    <s v="L-L-0.2"/>
    <x v="3"/>
    <x v="1"/>
    <x v="2"/>
    <s v="Karylin Huddart"/>
    <s v="Arlington"/>
    <s v="United States"/>
    <x v="0"/>
    <x v="1"/>
    <n v="4.7549999999999999"/>
    <x v="25"/>
  </r>
  <r>
    <s v="VGI-33205-360"/>
    <x v="588"/>
    <x v="729"/>
    <s v="L-M-0.5"/>
    <x v="3"/>
    <x v="0"/>
    <x v="1"/>
    <s v="Jereme Gippes"/>
    <s v="Twyford"/>
    <s v="United Kingdom"/>
    <x v="0"/>
    <x v="2"/>
    <n v="8.73"/>
    <x v="31"/>
  </r>
  <r>
    <s v="PCA-14081-576"/>
    <x v="23"/>
    <x v="730"/>
    <s v="R-L-0.2"/>
    <x v="0"/>
    <x v="1"/>
    <x v="2"/>
    <s v="Lukas Whittlesee"/>
    <s v="Roanoke"/>
    <s v="United States"/>
    <x v="1"/>
    <x v="1"/>
    <n v="3.585"/>
    <x v="131"/>
  </r>
  <r>
    <s v="SCS-67069-962"/>
    <x v="508"/>
    <x v="731"/>
    <s v="A-L-2.5"/>
    <x v="2"/>
    <x v="1"/>
    <x v="3"/>
    <s v="Gregorius Trengrove"/>
    <s v="New Hyde Park"/>
    <s v="United States"/>
    <x v="1"/>
    <x v="1"/>
    <n v="29.785"/>
    <x v="74"/>
  </r>
  <r>
    <s v="BDM-03174-485"/>
    <x v="536"/>
    <x v="732"/>
    <s v="R-L-0.5"/>
    <x v="0"/>
    <x v="1"/>
    <x v="1"/>
    <s v="Wright Caldero"/>
    <s v="Anaheim"/>
    <s v="United States"/>
    <x v="1"/>
    <x v="5"/>
    <n v="7.17"/>
    <x v="139"/>
  </r>
  <r>
    <s v="UJV-32333-364"/>
    <x v="589"/>
    <x v="733"/>
    <s v="L-L-0.5"/>
    <x v="3"/>
    <x v="1"/>
    <x v="1"/>
    <s v="Merell Zanazzi"/>
    <s v="Lexington"/>
    <s v="United States"/>
    <x v="1"/>
    <x v="3"/>
    <n v="9.51"/>
    <x v="54"/>
  </r>
  <r>
    <s v="FLI-11493-954"/>
    <x v="590"/>
    <x v="734"/>
    <s v="A-L-0.5"/>
    <x v="2"/>
    <x v="1"/>
    <x v="1"/>
    <s v="Jed Kennicott"/>
    <s v="Tampa"/>
    <s v="United States"/>
    <x v="1"/>
    <x v="5"/>
    <n v="7.77"/>
    <x v="113"/>
  </r>
  <r>
    <s v="IWL-13117-537"/>
    <x v="460"/>
    <x v="735"/>
    <s v="R-D-0.2"/>
    <x v="0"/>
    <x v="2"/>
    <x v="2"/>
    <s v="Guenevere Ruggen"/>
    <s v="San Jose"/>
    <s v="United States"/>
    <x v="0"/>
    <x v="4"/>
    <n v="2.6850000000000001"/>
    <x v="37"/>
  </r>
  <r>
    <s v="OAM-76916-748"/>
    <x v="591"/>
    <x v="736"/>
    <s v="E-D-1"/>
    <x v="1"/>
    <x v="2"/>
    <x v="0"/>
    <s v="Gonzales Cicculi"/>
    <s v="Washington"/>
    <s v="United States"/>
    <x v="0"/>
    <x v="4"/>
    <n v="12.15"/>
    <x v="114"/>
  </r>
  <r>
    <s v="UMB-11223-710"/>
    <x v="592"/>
    <x v="737"/>
    <s v="R-D-0.2"/>
    <x v="0"/>
    <x v="2"/>
    <x v="2"/>
    <s v="Man Fright"/>
    <s v="Daingean"/>
    <s v="Ireland"/>
    <x v="1"/>
    <x v="2"/>
    <n v="2.6850000000000001"/>
    <x v="103"/>
  </r>
  <r>
    <s v="LXR-09892-726"/>
    <x v="404"/>
    <x v="738"/>
    <s v="R-D-2.5"/>
    <x v="0"/>
    <x v="2"/>
    <x v="3"/>
    <s v="Boyce Tarte"/>
    <s v="Olympia"/>
    <s v="United States"/>
    <x v="0"/>
    <x v="0"/>
    <n v="20.585000000000001"/>
    <x v="20"/>
  </r>
  <r>
    <s v="QXX-89943-393"/>
    <x v="593"/>
    <x v="739"/>
    <s v="R-D-0.2"/>
    <x v="0"/>
    <x v="2"/>
    <x v="2"/>
    <s v="Caddric Krzysztofiak"/>
    <s v="Mesquite"/>
    <s v="United States"/>
    <x v="1"/>
    <x v="5"/>
    <n v="2.6850000000000001"/>
    <x v="176"/>
  </r>
  <r>
    <s v="WVS-57822-366"/>
    <x v="594"/>
    <x v="740"/>
    <s v="E-M-2.5"/>
    <x v="1"/>
    <x v="0"/>
    <x v="3"/>
    <s v="Darn Penquet"/>
    <s v="Sacramento"/>
    <s v="United States"/>
    <x v="1"/>
    <x v="5"/>
    <n v="31.625"/>
    <x v="177"/>
  </r>
  <r>
    <s v="CLJ-23403-689"/>
    <x v="78"/>
    <x v="741"/>
    <s v="R-L-1"/>
    <x v="0"/>
    <x v="1"/>
    <x v="0"/>
    <s v="Jammie Cloke"/>
    <s v="Newton"/>
    <s v="United Kingdom"/>
    <x v="1"/>
    <x v="0"/>
    <n v="11.95"/>
    <x v="179"/>
  </r>
  <r>
    <s v="XNU-83276-288"/>
    <x v="595"/>
    <x v="742"/>
    <s v="R-M-0.5"/>
    <x v="0"/>
    <x v="0"/>
    <x v="1"/>
    <s v="Chester Clowton"/>
    <s v="Monticello"/>
    <s v="United States"/>
    <x v="1"/>
    <x v="3"/>
    <n v="5.97"/>
    <x v="14"/>
  </r>
  <r>
    <s v="YOG-94666-679"/>
    <x v="596"/>
    <x v="743"/>
    <s v="L-D-0.2"/>
    <x v="3"/>
    <x v="2"/>
    <x v="2"/>
    <s v="Kathleen Diable"/>
    <s v="Kinloch"/>
    <s v="United Kingdom"/>
    <x v="0"/>
    <x v="0"/>
    <n v="3.8849999999999998"/>
    <x v="5"/>
  </r>
  <r>
    <s v="KHG-33953-115"/>
    <x v="514"/>
    <x v="744"/>
    <s v="L-D-0.5"/>
    <x v="3"/>
    <x v="2"/>
    <x v="1"/>
    <s v="Koren Ferretti"/>
    <s v="Balrothery"/>
    <s v="Ireland"/>
    <x v="1"/>
    <x v="4"/>
    <n v="7.77"/>
    <x v="102"/>
  </r>
  <r>
    <s v="MHD-95615-696"/>
    <x v="54"/>
    <x v="745"/>
    <s v="R-L-2.5"/>
    <x v="0"/>
    <x v="1"/>
    <x v="3"/>
    <s v="Allis Wilmore"/>
    <s v="Houston"/>
    <s v="United States"/>
    <x v="1"/>
    <x v="1"/>
    <n v="27.484999999999999"/>
    <x v="188"/>
  </r>
  <r>
    <s v="FWE-98471-488"/>
    <x v="597"/>
    <x v="745"/>
    <s v="L-L-1"/>
    <x v="3"/>
    <x v="1"/>
    <x v="0"/>
    <s v="Allis Wilmore"/>
    <s v="Houston"/>
    <s v="United States"/>
    <x v="1"/>
    <x v="1"/>
    <n v="15.85"/>
    <x v="181"/>
  </r>
  <r>
    <s v="UFZ-24348-219"/>
    <x v="598"/>
    <x v="745"/>
    <s v="L-M-2.5"/>
    <x v="3"/>
    <x v="0"/>
    <x v="3"/>
    <s v="Allis Wilmore"/>
    <s v="Houston"/>
    <s v="United States"/>
    <x v="1"/>
    <x v="4"/>
    <n v="33.465000000000003"/>
    <x v="64"/>
  </r>
  <r>
    <s v="HBH-64794-080"/>
    <x v="599"/>
    <x v="746"/>
    <s v="R-D-0.2"/>
    <x v="0"/>
    <x v="2"/>
    <x v="2"/>
    <s v="Chaddie Bennie"/>
    <s v="El Paso"/>
    <s v="United States"/>
    <x v="0"/>
    <x v="4"/>
    <n v="2.6850000000000001"/>
    <x v="37"/>
  </r>
  <r>
    <s v="CNJ-56058-223"/>
    <x v="106"/>
    <x v="747"/>
    <s v="L-L-0.5"/>
    <x v="3"/>
    <x v="1"/>
    <x v="1"/>
    <s v="Alberta Balsdone"/>
    <s v="Largo"/>
    <s v="United States"/>
    <x v="1"/>
    <x v="4"/>
    <n v="9.51"/>
    <x v="36"/>
  </r>
  <r>
    <s v="KHO-27106-786"/>
    <x v="211"/>
    <x v="748"/>
    <s v="A-M-1"/>
    <x v="2"/>
    <x v="0"/>
    <x v="0"/>
    <s v="Brice Romera"/>
    <s v="Foxrock"/>
    <s v="Ireland"/>
    <x v="0"/>
    <x v="2"/>
    <n v="11.25"/>
    <x v="173"/>
  </r>
  <r>
    <s v="KHO-27106-786"/>
    <x v="211"/>
    <x v="748"/>
    <s v="L-D-2.5"/>
    <x v="3"/>
    <x v="2"/>
    <x v="3"/>
    <s v="Brice Romera"/>
    <s v="Foxrock"/>
    <s v="Ireland"/>
    <x v="0"/>
    <x v="2"/>
    <n v="29.785"/>
    <x v="40"/>
  </r>
  <r>
    <s v="YAC-50329-982"/>
    <x v="600"/>
    <x v="749"/>
    <s v="E-M-2.5"/>
    <x v="1"/>
    <x v="0"/>
    <x v="3"/>
    <s v="Conchita Bryde"/>
    <s v="Oklahoma City"/>
    <s v="United States"/>
    <x v="0"/>
    <x v="3"/>
    <n v="31.625"/>
    <x v="178"/>
  </r>
  <r>
    <s v="VVL-95291-039"/>
    <x v="360"/>
    <x v="750"/>
    <s v="E-L-0.2"/>
    <x v="1"/>
    <x v="1"/>
    <x v="2"/>
    <s v="Silvanus Enefer"/>
    <s v="Washington"/>
    <s v="United States"/>
    <x v="1"/>
    <x v="0"/>
    <n v="4.4550000000000001"/>
    <x v="161"/>
  </r>
  <r>
    <s v="VUT-20974-364"/>
    <x v="62"/>
    <x v="751"/>
    <s v="R-M-0.5"/>
    <x v="0"/>
    <x v="0"/>
    <x v="1"/>
    <s v="Lenci Haggerstone"/>
    <s v="Atlanta"/>
    <s v="United States"/>
    <x v="1"/>
    <x v="2"/>
    <n v="5.97"/>
    <x v="29"/>
  </r>
  <r>
    <s v="SFC-34054-213"/>
    <x v="601"/>
    <x v="752"/>
    <s v="L-L-0.5"/>
    <x v="3"/>
    <x v="1"/>
    <x v="1"/>
    <s v="Marvin Gundry"/>
    <s v="Castlebridge"/>
    <s v="Ireland"/>
    <x v="1"/>
    <x v="5"/>
    <n v="9.51"/>
    <x v="82"/>
  </r>
  <r>
    <s v="UDS-04807-593"/>
    <x v="602"/>
    <x v="753"/>
    <s v="L-D-0.5"/>
    <x v="3"/>
    <x v="2"/>
    <x v="1"/>
    <s v="Bayard Wellan"/>
    <s v="Buffalo"/>
    <s v="United States"/>
    <x v="1"/>
    <x v="0"/>
    <n v="7.77"/>
    <x v="42"/>
  </r>
  <r>
    <s v="RAU-17060-674"/>
    <x v="603"/>
    <x v="754"/>
    <s v="L-L-0.2"/>
    <x v="3"/>
    <x v="1"/>
    <x v="2"/>
    <s v="Caddric Atcheson"/>
    <s v="Washington"/>
    <s v="United States"/>
    <x v="0"/>
    <x v="3"/>
    <n v="4.7549999999999999"/>
    <x v="12"/>
  </r>
  <r>
    <s v="AOL-13866-711"/>
    <x v="604"/>
    <x v="755"/>
    <s v="E-M-1"/>
    <x v="1"/>
    <x v="0"/>
    <x v="0"/>
    <s v="Eustace Stenton"/>
    <s v="Austin"/>
    <s v="United States"/>
    <x v="0"/>
    <x v="5"/>
    <n v="13.75"/>
    <x v="194"/>
  </r>
  <r>
    <s v="NOA-79645-377"/>
    <x v="605"/>
    <x v="756"/>
    <s v="R-D-0.5"/>
    <x v="0"/>
    <x v="2"/>
    <x v="1"/>
    <s v="Ericka Tripp"/>
    <s v="Mesa"/>
    <s v="United States"/>
    <x v="1"/>
    <x v="1"/>
    <n v="5.37"/>
    <x v="51"/>
  </r>
  <r>
    <s v="KMS-49214-806"/>
    <x v="606"/>
    <x v="757"/>
    <s v="E-L-2.5"/>
    <x v="1"/>
    <x v="1"/>
    <x v="3"/>
    <s v="Lyndsey MacManus"/>
    <s v="Savannah"/>
    <s v="United States"/>
    <x v="1"/>
    <x v="5"/>
    <n v="34.155000000000001"/>
    <x v="56"/>
  </r>
  <r>
    <s v="ABK-08091-531"/>
    <x v="607"/>
    <x v="758"/>
    <s v="L-L-1"/>
    <x v="3"/>
    <x v="1"/>
    <x v="0"/>
    <s v="Tess Benediktovich"/>
    <s v="Albuquerque"/>
    <s v="United States"/>
    <x v="0"/>
    <x v="4"/>
    <n v="15.85"/>
    <x v="46"/>
  </r>
  <r>
    <s v="GPT-67705-953"/>
    <x v="446"/>
    <x v="759"/>
    <s v="A-M-0.2"/>
    <x v="2"/>
    <x v="0"/>
    <x v="2"/>
    <s v="Correy Bourner"/>
    <s v="Charlotte"/>
    <s v="United States"/>
    <x v="0"/>
    <x v="1"/>
    <n v="3.375"/>
    <x v="17"/>
  </r>
  <r>
    <s v="JNA-21450-177"/>
    <x v="24"/>
    <x v="760"/>
    <s v="A-D-1"/>
    <x v="2"/>
    <x v="2"/>
    <x v="0"/>
    <s v="Odelia Skerme"/>
    <s v="Oklahoma City"/>
    <s v="United States"/>
    <x v="0"/>
    <x v="4"/>
    <n v="9.9499999999999993"/>
    <x v="44"/>
  </r>
  <r>
    <s v="DZI-35365-596"/>
    <x v="494"/>
    <x v="760"/>
    <s v="E-M-0.2"/>
    <x v="1"/>
    <x v="0"/>
    <x v="2"/>
    <s v="Odelia Skerme"/>
    <s v="Oklahoma City"/>
    <s v="United States"/>
    <x v="0"/>
    <x v="0"/>
    <n v="4.125"/>
    <x v="112"/>
  </r>
  <r>
    <s v="SFD-00372-284"/>
    <x v="440"/>
    <x v="760"/>
    <s v="L-M-0.2"/>
    <x v="3"/>
    <x v="0"/>
    <x v="2"/>
    <s v="Odelia Skerme"/>
    <s v="Oklahoma City"/>
    <s v="United States"/>
    <x v="0"/>
    <x v="0"/>
    <n v="4.3650000000000002"/>
    <x v="34"/>
  </r>
  <r>
    <s v="MPQ-23421-608"/>
    <x v="181"/>
    <x v="761"/>
    <s v="E-M-0.5"/>
    <x v="1"/>
    <x v="0"/>
    <x v="1"/>
    <s v="Kandy Heddan"/>
    <s v="Pensacola"/>
    <s v="United States"/>
    <x v="0"/>
    <x v="1"/>
    <n v="8.25"/>
    <x v="1"/>
  </r>
  <r>
    <s v="NLI-63891-565"/>
    <x v="580"/>
    <x v="762"/>
    <s v="E-M-0.2"/>
    <x v="1"/>
    <x v="0"/>
    <x v="2"/>
    <s v="Ibby Charters"/>
    <s v="Washington"/>
    <s v="United States"/>
    <x v="1"/>
    <x v="1"/>
    <n v="4.125"/>
    <x v="132"/>
  </r>
  <r>
    <s v="HHF-36647-854"/>
    <x v="453"/>
    <x v="763"/>
    <s v="A-D-2.5"/>
    <x v="2"/>
    <x v="2"/>
    <x v="3"/>
    <s v="Adora Roubert"/>
    <s v="Port Saint Lucie"/>
    <s v="United States"/>
    <x v="0"/>
    <x v="2"/>
    <n v="22.885000000000002"/>
    <x v="164"/>
  </r>
  <r>
    <s v="SBN-16537-046"/>
    <x v="259"/>
    <x v="764"/>
    <s v="A-D-0.2"/>
    <x v="2"/>
    <x v="2"/>
    <x v="2"/>
    <s v="Hillel Mairs"/>
    <s v="Huntington"/>
    <s v="United States"/>
    <x v="1"/>
    <x v="3"/>
    <n v="2.9849999999999999"/>
    <x v="55"/>
  </r>
  <r>
    <s v="XZD-44484-632"/>
    <x v="608"/>
    <x v="765"/>
    <s v="E-M-1"/>
    <x v="1"/>
    <x v="0"/>
    <x v="0"/>
    <s v="Helaina Rainforth"/>
    <s v="Philadelphia"/>
    <s v="United States"/>
    <x v="1"/>
    <x v="0"/>
    <n v="13.75"/>
    <x v="6"/>
  </r>
  <r>
    <s v="XZD-44484-632"/>
    <x v="608"/>
    <x v="765"/>
    <s v="A-D-0.2"/>
    <x v="2"/>
    <x v="2"/>
    <x v="2"/>
    <s v="Helaina Rainforth"/>
    <s v="Philadelphia"/>
    <s v="United States"/>
    <x v="1"/>
    <x v="0"/>
    <n v="2.9849999999999999"/>
    <x v="14"/>
  </r>
  <r>
    <s v="IKQ-39946-768"/>
    <x v="386"/>
    <x v="766"/>
    <s v="R-M-1"/>
    <x v="0"/>
    <x v="0"/>
    <x v="0"/>
    <s v="Isac Jesper"/>
    <s v="Naples"/>
    <s v="United States"/>
    <x v="1"/>
    <x v="2"/>
    <n v="9.9499999999999993"/>
    <x v="3"/>
  </r>
  <r>
    <s v="KMB-95211-174"/>
    <x v="609"/>
    <x v="767"/>
    <s v="R-D-2.5"/>
    <x v="0"/>
    <x v="2"/>
    <x v="3"/>
    <s v="Lenette Dwerryhouse"/>
    <s v="Fort Worth"/>
    <s v="United States"/>
    <x v="0"/>
    <x v="5"/>
    <n v="20.585000000000001"/>
    <x v="26"/>
  </r>
  <r>
    <s v="QWY-99467-368"/>
    <x v="610"/>
    <x v="768"/>
    <s v="A-D-2.5"/>
    <x v="2"/>
    <x v="2"/>
    <x v="3"/>
    <s v="Nadeen Broomer"/>
    <s v="Omaha"/>
    <s v="United States"/>
    <x v="1"/>
    <x v="3"/>
    <n v="22.885000000000002"/>
    <x v="157"/>
  </r>
  <r>
    <s v="SRG-76791-614"/>
    <x v="147"/>
    <x v="769"/>
    <s v="E-L-0.5"/>
    <x v="1"/>
    <x v="1"/>
    <x v="1"/>
    <s v="Konstantine Thoumasson"/>
    <s v="Tucson"/>
    <s v="United States"/>
    <x v="0"/>
    <x v="3"/>
    <n v="8.91"/>
    <x v="161"/>
  </r>
  <r>
    <s v="VSN-94485-621"/>
    <x v="172"/>
    <x v="770"/>
    <s v="A-D-0.2"/>
    <x v="2"/>
    <x v="2"/>
    <x v="2"/>
    <s v="Frans Habbergham"/>
    <s v="Sparks"/>
    <s v="United States"/>
    <x v="1"/>
    <x v="5"/>
    <n v="2.9849999999999999"/>
    <x v="27"/>
  </r>
  <r>
    <s v="UKS-93055-397"/>
    <x v="611"/>
    <x v="771"/>
    <s v="A-D-2.5"/>
    <x v="2"/>
    <x v="2"/>
    <x v="3"/>
    <s v="Romain Avrashin"/>
    <s v="Washington"/>
    <s v="United States"/>
    <x v="1"/>
    <x v="1"/>
    <n v="22.885000000000002"/>
    <x v="23"/>
  </r>
  <r>
    <s v="AVH-56062-335"/>
    <x v="612"/>
    <x v="772"/>
    <s v="E-M-0.5"/>
    <x v="1"/>
    <x v="0"/>
    <x v="1"/>
    <s v="Miran Doidge"/>
    <s v="Salinas"/>
    <s v="United States"/>
    <x v="1"/>
    <x v="1"/>
    <n v="8.25"/>
    <x v="1"/>
  </r>
  <r>
    <s v="HGE-19842-613"/>
    <x v="613"/>
    <x v="773"/>
    <s v="R-L-0.5"/>
    <x v="0"/>
    <x v="1"/>
    <x v="1"/>
    <s v="Janeva Edinboro"/>
    <s v="Fort Lauderdale"/>
    <s v="United States"/>
    <x v="0"/>
    <x v="5"/>
    <n v="7.17"/>
    <x v="139"/>
  </r>
  <r>
    <s v="WBA-85905-175"/>
    <x v="611"/>
    <x v="774"/>
    <s v="L-M-0.2"/>
    <x v="3"/>
    <x v="0"/>
    <x v="2"/>
    <s v="Trumaine Tewelson"/>
    <s v="El Paso"/>
    <s v="United States"/>
    <x v="1"/>
    <x v="3"/>
    <n v="4.3650000000000002"/>
    <x v="190"/>
  </r>
  <r>
    <s v="XIR-88982-743"/>
    <x v="614"/>
    <x v="775"/>
    <s v="E-M-0.2"/>
    <x v="1"/>
    <x v="0"/>
    <x v="2"/>
    <s v="De Drewitt"/>
    <s v="Alexandria"/>
    <s v="United States"/>
    <x v="0"/>
    <x v="0"/>
    <n v="4.125"/>
    <x v="112"/>
  </r>
  <r>
    <s v="VUC-72395-865"/>
    <x v="151"/>
    <x v="776"/>
    <s v="A-D-0.5"/>
    <x v="2"/>
    <x v="2"/>
    <x v="1"/>
    <s v="Adelheid Gladhill"/>
    <s v="Baltimore"/>
    <s v="United States"/>
    <x v="0"/>
    <x v="2"/>
    <n v="5.97"/>
    <x v="29"/>
  </r>
  <r>
    <s v="BQJ-44755-910"/>
    <x v="489"/>
    <x v="777"/>
    <s v="E-D-2.5"/>
    <x v="1"/>
    <x v="2"/>
    <x v="3"/>
    <s v="Murielle Lorinez"/>
    <s v="Evansville"/>
    <s v="United States"/>
    <x v="1"/>
    <x v="2"/>
    <n v="27.945"/>
    <x v="165"/>
  </r>
  <r>
    <s v="JKC-64636-831"/>
    <x v="615"/>
    <x v="778"/>
    <s v="A-M-2.5"/>
    <x v="2"/>
    <x v="0"/>
    <x v="3"/>
    <s v="Edin Mathe"/>
    <s v="Lawrenceville"/>
    <s v="United States"/>
    <x v="0"/>
    <x v="0"/>
    <n v="25.875"/>
    <x v="95"/>
  </r>
  <r>
    <s v="ZKI-78561-066"/>
    <x v="616"/>
    <x v="779"/>
    <s v="A-D-0.2"/>
    <x v="2"/>
    <x v="2"/>
    <x v="2"/>
    <s v="Mordy Van Der Vlies"/>
    <s v="Mobile"/>
    <s v="United States"/>
    <x v="0"/>
    <x v="4"/>
    <n v="2.9849999999999999"/>
    <x v="170"/>
  </r>
  <r>
    <s v="IMP-12563-728"/>
    <x v="578"/>
    <x v="780"/>
    <s v="E-L-0.5"/>
    <x v="1"/>
    <x v="1"/>
    <x v="1"/>
    <s v="Spencer Wastell"/>
    <s v="Midland"/>
    <s v="United States"/>
    <x v="1"/>
    <x v="2"/>
    <n v="8.91"/>
    <x v="119"/>
  </r>
  <r>
    <s v="MZL-81126-390"/>
    <x v="617"/>
    <x v="781"/>
    <s v="A-L-0.2"/>
    <x v="2"/>
    <x v="1"/>
    <x v="2"/>
    <s v="Jemimah Ethelston"/>
    <s v="Hollywood"/>
    <s v="United States"/>
    <x v="0"/>
    <x v="2"/>
    <n v="3.8849999999999998"/>
    <x v="102"/>
  </r>
  <r>
    <s v="MZL-81126-390"/>
    <x v="617"/>
    <x v="781"/>
    <s v="A-M-0.2"/>
    <x v="2"/>
    <x v="0"/>
    <x v="2"/>
    <s v="Jemimah Ethelston"/>
    <s v="Hollywood"/>
    <s v="United States"/>
    <x v="0"/>
    <x v="0"/>
    <n v="3.375"/>
    <x v="52"/>
  </r>
  <r>
    <s v="TVF-57766-608"/>
    <x v="155"/>
    <x v="782"/>
    <s v="L-D-0.5"/>
    <x v="3"/>
    <x v="2"/>
    <x v="1"/>
    <s v="Perice Eberz"/>
    <s v="Chico"/>
    <s v="United States"/>
    <x v="0"/>
    <x v="3"/>
    <n v="7.77"/>
    <x v="5"/>
  </r>
  <r>
    <s v="RUX-37995-892"/>
    <x v="463"/>
    <x v="783"/>
    <s v="L-D-2.5"/>
    <x v="3"/>
    <x v="2"/>
    <x v="3"/>
    <s v="Bear Gaish"/>
    <s v="Austin"/>
    <s v="United States"/>
    <x v="0"/>
    <x v="5"/>
    <n v="29.785"/>
    <x v="129"/>
  </r>
  <r>
    <s v="AVK-76526-953"/>
    <x v="88"/>
    <x v="784"/>
    <s v="A-D-1"/>
    <x v="2"/>
    <x v="2"/>
    <x v="0"/>
    <s v="Lynnea Danton"/>
    <s v="El Paso"/>
    <s v="United States"/>
    <x v="1"/>
    <x v="0"/>
    <n v="9.9499999999999993"/>
    <x v="0"/>
  </r>
  <r>
    <s v="RIU-02231-623"/>
    <x v="618"/>
    <x v="785"/>
    <s v="R-L-0.5"/>
    <x v="0"/>
    <x v="1"/>
    <x v="1"/>
    <s v="Skipton Morrall"/>
    <s v="Charleston"/>
    <s v="United States"/>
    <x v="0"/>
    <x v="1"/>
    <n v="7.17"/>
    <x v="174"/>
  </r>
  <r>
    <s v="WFK-99317-827"/>
    <x v="619"/>
    <x v="786"/>
    <s v="L-D-2.5"/>
    <x v="3"/>
    <x v="2"/>
    <x v="3"/>
    <s v="Devan Crownshaw"/>
    <s v="Allentown"/>
    <s v="United States"/>
    <x v="1"/>
    <x v="4"/>
    <n v="29.785"/>
    <x v="49"/>
  </r>
  <r>
    <s v="SXC-62166-515"/>
    <x v="489"/>
    <x v="787"/>
    <s v="R-L-2.5"/>
    <x v="0"/>
    <x v="1"/>
    <x v="3"/>
    <s v="Joceline Reddoch"/>
    <s v="Largo"/>
    <s v="United States"/>
    <x v="1"/>
    <x v="1"/>
    <n v="27.484999999999999"/>
    <x v="188"/>
  </r>
  <r>
    <s v="YIE-87008-621"/>
    <x v="620"/>
    <x v="788"/>
    <s v="L-M-0.5"/>
    <x v="3"/>
    <x v="0"/>
    <x v="1"/>
    <s v="Shelley Titley"/>
    <s v="Fargo"/>
    <s v="United States"/>
    <x v="1"/>
    <x v="5"/>
    <n v="8.73"/>
    <x v="191"/>
  </r>
  <r>
    <s v="HRM-94548-288"/>
    <x v="621"/>
    <x v="789"/>
    <s v="A-L-2.5"/>
    <x v="2"/>
    <x v="1"/>
    <x v="3"/>
    <s v="Redd Simao"/>
    <s v="Fort Smith"/>
    <s v="United States"/>
    <x v="1"/>
    <x v="2"/>
    <n v="29.785"/>
    <x v="40"/>
  </r>
  <r>
    <s v="UJG-34731-295"/>
    <x v="374"/>
    <x v="790"/>
    <s v="A-M-2.5"/>
    <x v="2"/>
    <x v="0"/>
    <x v="3"/>
    <s v="Cece Inker"/>
    <s v="Lakeland"/>
    <s v="United States"/>
    <x v="1"/>
    <x v="3"/>
    <n v="25.875"/>
    <x v="145"/>
  </r>
  <r>
    <s v="TWD-70988-853"/>
    <x v="346"/>
    <x v="791"/>
    <s v="L-D-1"/>
    <x v="3"/>
    <x v="2"/>
    <x v="0"/>
    <s v="Noel Chisholm"/>
    <s v="Knoxville"/>
    <s v="United States"/>
    <x v="0"/>
    <x v="2"/>
    <n v="12.95"/>
    <x v="11"/>
  </r>
  <r>
    <s v="CIX-22904-641"/>
    <x v="622"/>
    <x v="792"/>
    <s v="R-M-1"/>
    <x v="0"/>
    <x v="0"/>
    <x v="0"/>
    <s v="Grazia Oats"/>
    <s v="Los Angeles"/>
    <s v="United States"/>
    <x v="0"/>
    <x v="3"/>
    <n v="9.9499999999999993"/>
    <x v="138"/>
  </r>
  <r>
    <s v="DLV-65840-759"/>
    <x v="623"/>
    <x v="793"/>
    <s v="L-M-1"/>
    <x v="3"/>
    <x v="0"/>
    <x v="0"/>
    <s v="Meade Birkin"/>
    <s v="Miami"/>
    <s v="United States"/>
    <x v="0"/>
    <x v="0"/>
    <n v="14.55"/>
    <x v="195"/>
  </r>
  <r>
    <s v="RXN-55491-201"/>
    <x v="354"/>
    <x v="794"/>
    <s v="R-L-0.2"/>
    <x v="0"/>
    <x v="1"/>
    <x v="2"/>
    <s v="Ronda Pyson"/>
    <s v="Clones"/>
    <s v="Ireland"/>
    <x v="1"/>
    <x v="2"/>
    <n v="3.585"/>
    <x v="137"/>
  </r>
  <r>
    <s v="UHK-63283-868"/>
    <x v="624"/>
    <x v="795"/>
    <s v="A-M-0.5"/>
    <x v="2"/>
    <x v="0"/>
    <x v="1"/>
    <s v="Modesty MacConnechie"/>
    <s v="Charleston"/>
    <s v="United States"/>
    <x v="0"/>
    <x v="3"/>
    <n v="6.75"/>
    <x v="52"/>
  </r>
  <r>
    <s v="BRJ-19414-277"/>
    <x v="622"/>
    <x v="795"/>
    <s v="R-M-0.2"/>
    <x v="0"/>
    <x v="0"/>
    <x v="2"/>
    <s v="Modesty MacConnechie"/>
    <s v="Charleston"/>
    <s v="United States"/>
    <x v="0"/>
    <x v="5"/>
    <n v="2.9849999999999999"/>
    <x v="27"/>
  </r>
  <r>
    <s v="PJC-31401-893"/>
    <x v="562"/>
    <x v="796"/>
    <s v="A-D-0.5"/>
    <x v="2"/>
    <x v="2"/>
    <x v="1"/>
    <s v="Rafaela Treacher"/>
    <s v="Greystones"/>
    <s v="Ireland"/>
    <x v="1"/>
    <x v="4"/>
    <n v="5.97"/>
    <x v="13"/>
  </r>
  <r>
    <s v="HHO-79903-185"/>
    <x v="42"/>
    <x v="797"/>
    <s v="A-L-2.5"/>
    <x v="2"/>
    <x v="1"/>
    <x v="3"/>
    <s v="Bee Fattorini"/>
    <s v="Monaghan"/>
    <s v="Ireland"/>
    <x v="0"/>
    <x v="3"/>
    <n v="29.785"/>
    <x v="91"/>
  </r>
  <r>
    <s v="YWM-07310-594"/>
    <x v="267"/>
    <x v="798"/>
    <s v="E-M-0.5"/>
    <x v="1"/>
    <x v="0"/>
    <x v="1"/>
    <s v="Margie Palleske"/>
    <s v="Pompano Beach"/>
    <s v="United States"/>
    <x v="0"/>
    <x v="1"/>
    <n v="8.25"/>
    <x v="1"/>
  </r>
  <r>
    <s v="FHD-94983-982"/>
    <x v="625"/>
    <x v="799"/>
    <s v="R-M-0.5"/>
    <x v="0"/>
    <x v="0"/>
    <x v="1"/>
    <s v="Alexina Randals"/>
    <s v="Sacramento"/>
    <s v="United States"/>
    <x v="0"/>
    <x v="4"/>
    <n v="5.97"/>
    <x v="13"/>
  </r>
  <r>
    <s v="WQK-10857-119"/>
    <x v="616"/>
    <x v="800"/>
    <s v="E-D-0.5"/>
    <x v="1"/>
    <x v="2"/>
    <x v="1"/>
    <s v="Filip Antcliffe"/>
    <s v="Clonskeagh"/>
    <s v="Ireland"/>
    <x v="0"/>
    <x v="3"/>
    <n v="7.29"/>
    <x v="35"/>
  </r>
  <r>
    <s v="DXA-50313-073"/>
    <x v="626"/>
    <x v="801"/>
    <s v="E-L-1"/>
    <x v="1"/>
    <x v="1"/>
    <x v="0"/>
    <s v="Peyter Matignon"/>
    <s v="Kirkton"/>
    <s v="United Kingdom"/>
    <x v="0"/>
    <x v="0"/>
    <n v="14.85"/>
    <x v="196"/>
  </r>
  <r>
    <s v="ONW-00560-570"/>
    <x v="52"/>
    <x v="802"/>
    <s v="A-M-1"/>
    <x v="2"/>
    <x v="0"/>
    <x v="0"/>
    <s v="Claudie Weond"/>
    <s v="Asheville"/>
    <s v="United States"/>
    <x v="1"/>
    <x v="0"/>
    <n v="11.25"/>
    <x v="122"/>
  </r>
  <r>
    <s v="MIQ-16322-908"/>
    <x v="627"/>
    <x v="803"/>
    <s v="A-L-1"/>
    <x v="2"/>
    <x v="1"/>
    <x v="0"/>
    <s v="Jaquenette Skentelbery"/>
    <s v="Houston"/>
    <s v="United States"/>
    <x v="1"/>
    <x v="0"/>
    <n v="12.95"/>
    <x v="109"/>
  </r>
  <r>
    <s v="MVO-39328-830"/>
    <x v="628"/>
    <x v="804"/>
    <s v="L-M-0.5"/>
    <x v="3"/>
    <x v="0"/>
    <x v="1"/>
    <s v="Orazio Comber"/>
    <s v="Confey"/>
    <s v="Ireland"/>
    <x v="1"/>
    <x v="1"/>
    <n v="8.73"/>
    <x v="38"/>
  </r>
  <r>
    <s v="MVO-39328-830"/>
    <x v="628"/>
    <x v="804"/>
    <s v="A-L-0.5"/>
    <x v="2"/>
    <x v="1"/>
    <x v="1"/>
    <s v="Orazio Comber"/>
    <s v="Confey"/>
    <s v="Ireland"/>
    <x v="1"/>
    <x v="2"/>
    <n v="7.77"/>
    <x v="162"/>
  </r>
  <r>
    <s v="NTJ-88319-746"/>
    <x v="629"/>
    <x v="805"/>
    <s v="L-L-0.5"/>
    <x v="3"/>
    <x v="1"/>
    <x v="1"/>
    <s v="Zachary Tramel"/>
    <s v="Newark"/>
    <s v="United States"/>
    <x v="1"/>
    <x v="4"/>
    <n v="9.51"/>
    <x v="36"/>
  </r>
  <r>
    <s v="LCY-24377-948"/>
    <x v="630"/>
    <x v="806"/>
    <s v="R-L-2.5"/>
    <x v="0"/>
    <x v="1"/>
    <x v="3"/>
    <s v="Izaak Primak"/>
    <s v="Seattle"/>
    <s v="United States"/>
    <x v="0"/>
    <x v="3"/>
    <n v="27.484999999999999"/>
    <x v="142"/>
  </r>
  <r>
    <s v="FWD-85967-769"/>
    <x v="631"/>
    <x v="807"/>
    <s v="E-D-0.2"/>
    <x v="1"/>
    <x v="2"/>
    <x v="2"/>
    <s v="Brittani Thoresbie"/>
    <s v="Englewood"/>
    <s v="United States"/>
    <x v="1"/>
    <x v="4"/>
    <n v="3.645"/>
    <x v="47"/>
  </r>
  <r>
    <s v="KTO-53793-109"/>
    <x v="180"/>
    <x v="808"/>
    <s v="R-L-0.2"/>
    <x v="0"/>
    <x v="1"/>
    <x v="2"/>
    <s v="Constanta Hatfull"/>
    <s v="Rockford"/>
    <s v="United States"/>
    <x v="1"/>
    <x v="0"/>
    <n v="3.585"/>
    <x v="53"/>
  </r>
  <r>
    <s v="OCK-89033-348"/>
    <x v="632"/>
    <x v="809"/>
    <s v="A-L-0.2"/>
    <x v="2"/>
    <x v="1"/>
    <x v="2"/>
    <s v="Bobbe Castagneto"/>
    <s v="Billings"/>
    <s v="United States"/>
    <x v="0"/>
    <x v="2"/>
    <n v="3.8849999999999998"/>
    <x v="102"/>
  </r>
  <r>
    <s v="GPZ-36017-366"/>
    <x v="633"/>
    <x v="810"/>
    <s v="A-D-2.5"/>
    <x v="2"/>
    <x v="2"/>
    <x v="3"/>
    <s v="Kippie Marrison"/>
    <s v="Denver"/>
    <s v="United States"/>
    <x v="0"/>
    <x v="1"/>
    <n v="22.885000000000002"/>
    <x v="23"/>
  </r>
  <r>
    <s v="UOM-71431-481"/>
    <x v="183"/>
    <x v="810"/>
    <s v="R-D-2.5"/>
    <x v="0"/>
    <x v="2"/>
    <x v="3"/>
    <s v="Kippie Marrison"/>
    <s v="Denver"/>
    <s v="United States"/>
    <x v="0"/>
    <x v="3"/>
    <n v="20.585000000000001"/>
    <x v="123"/>
  </r>
  <r>
    <s v="BZP-33213-637"/>
    <x v="96"/>
    <x v="811"/>
    <s v="A-M-2.5"/>
    <x v="2"/>
    <x v="0"/>
    <x v="3"/>
    <s v="Lindon Agnolo"/>
    <s v="Tulsa"/>
    <s v="United States"/>
    <x v="0"/>
    <x v="4"/>
    <n v="25.875"/>
    <x v="57"/>
  </r>
  <r>
    <s v="WFH-21507-708"/>
    <x v="521"/>
    <x v="812"/>
    <s v="R-D-0.5"/>
    <x v="0"/>
    <x v="2"/>
    <x v="1"/>
    <s v="Delainey Kiddy"/>
    <s v="Fresno"/>
    <s v="United States"/>
    <x v="0"/>
    <x v="3"/>
    <n v="5.37"/>
    <x v="147"/>
  </r>
  <r>
    <s v="HST-96923-073"/>
    <x v="76"/>
    <x v="813"/>
    <s v="R-D-2.5"/>
    <x v="0"/>
    <x v="2"/>
    <x v="3"/>
    <s v="Helli Petroulis"/>
    <s v="Mullagh"/>
    <s v="Ireland"/>
    <x v="1"/>
    <x v="2"/>
    <n v="20.585000000000001"/>
    <x v="99"/>
  </r>
  <r>
    <s v="ENN-79947-323"/>
    <x v="634"/>
    <x v="814"/>
    <s v="L-M-0.5"/>
    <x v="3"/>
    <x v="0"/>
    <x v="1"/>
    <s v="Marty Scholl"/>
    <s v="San Francisco"/>
    <s v="United States"/>
    <x v="1"/>
    <x v="0"/>
    <n v="8.73"/>
    <x v="92"/>
  </r>
  <r>
    <s v="BHA-47429-889"/>
    <x v="635"/>
    <x v="815"/>
    <s v="E-L-0.2"/>
    <x v="1"/>
    <x v="1"/>
    <x v="2"/>
    <s v="Kienan Ferson"/>
    <s v="Mobile"/>
    <s v="United States"/>
    <x v="1"/>
    <x v="4"/>
    <n v="4.4550000000000001"/>
    <x v="77"/>
  </r>
  <r>
    <s v="SZY-63017-318"/>
    <x v="636"/>
    <x v="816"/>
    <s v="A-L-0.2"/>
    <x v="2"/>
    <x v="1"/>
    <x v="2"/>
    <s v="Blake Kelloway"/>
    <s v="San Francisco"/>
    <s v="United States"/>
    <x v="0"/>
    <x v="0"/>
    <n v="3.8849999999999998"/>
    <x v="5"/>
  </r>
  <r>
    <s v="LCU-93317-340"/>
    <x v="637"/>
    <x v="817"/>
    <s v="R-D-0.2"/>
    <x v="0"/>
    <x v="2"/>
    <x v="2"/>
    <s v="Scarlett Oliffe"/>
    <s v="Jamaica"/>
    <s v="United States"/>
    <x v="0"/>
    <x v="3"/>
    <n v="2.6850000000000001"/>
    <x v="97"/>
  </r>
  <r>
    <s v="PJH-42618-877"/>
    <x v="479"/>
    <x v="818"/>
    <s v="A-D-2.5"/>
    <x v="2"/>
    <x v="2"/>
    <x v="3"/>
    <s v="Celestia Dolohunty"/>
    <s v="San Diego"/>
    <s v="United States"/>
    <x v="0"/>
    <x v="1"/>
    <n v="22.885000000000002"/>
    <x v="23"/>
  </r>
  <r>
    <s v="XED-90333-402"/>
    <x v="638"/>
    <x v="819"/>
    <s v="E-M-0.2"/>
    <x v="1"/>
    <x v="0"/>
    <x v="2"/>
    <s v="Patsy Vasilenko"/>
    <s v="Preston"/>
    <s v="United Kingdom"/>
    <x v="1"/>
    <x v="1"/>
    <n v="4.125"/>
    <x v="132"/>
  </r>
  <r>
    <s v="IKK-62234-199"/>
    <x v="639"/>
    <x v="820"/>
    <s v="L-L-0.5"/>
    <x v="3"/>
    <x v="1"/>
    <x v="1"/>
    <s v="Raphaela Schankelborg"/>
    <s v="Pittsburgh"/>
    <s v="United States"/>
    <x v="0"/>
    <x v="2"/>
    <n v="9.51"/>
    <x v="33"/>
  </r>
  <r>
    <s v="KAW-95195-329"/>
    <x v="640"/>
    <x v="821"/>
    <s v="R-D-2.5"/>
    <x v="0"/>
    <x v="2"/>
    <x v="3"/>
    <s v="Sharity Wickens"/>
    <s v="Cavan"/>
    <s v="Ireland"/>
    <x v="0"/>
    <x v="5"/>
    <n v="20.585000000000001"/>
    <x v="26"/>
  </r>
  <r>
    <s v="QDO-57268-842"/>
    <x v="612"/>
    <x v="822"/>
    <s v="E-M-2.5"/>
    <x v="1"/>
    <x v="0"/>
    <x v="3"/>
    <s v="Derick Snow"/>
    <s v="New York City"/>
    <s v="United States"/>
    <x v="1"/>
    <x v="1"/>
    <n v="31.625"/>
    <x v="197"/>
  </r>
  <r>
    <s v="VKQ-39009-292"/>
    <x v="221"/>
    <x v="822"/>
    <s v="L-M-1"/>
    <x v="3"/>
    <x v="0"/>
    <x v="0"/>
    <s v="Derick Snow"/>
    <s v="New York City"/>
    <s v="United States"/>
    <x v="1"/>
    <x v="1"/>
    <n v="14.55"/>
    <x v="45"/>
  </r>
  <r>
    <s v="UGK-07613-982"/>
    <x v="641"/>
    <x v="822"/>
    <s v="A-M-0.5"/>
    <x v="2"/>
    <x v="0"/>
    <x v="1"/>
    <s v="Derick Snow"/>
    <s v="New York City"/>
    <s v="United States"/>
    <x v="1"/>
    <x v="4"/>
    <n v="6.75"/>
    <x v="15"/>
  </r>
  <r>
    <s v="IIZ-24416-212"/>
    <x v="642"/>
    <x v="823"/>
    <s v="R-D-0.5"/>
    <x v="0"/>
    <x v="2"/>
    <x v="1"/>
    <s v="Baxy Cargen"/>
    <s v="Seattle"/>
    <s v="United States"/>
    <x v="0"/>
    <x v="2"/>
    <n v="5.37"/>
    <x v="111"/>
  </r>
  <r>
    <s v="AWP-11469-510"/>
    <x v="6"/>
    <x v="824"/>
    <s v="E-D-1"/>
    <x v="1"/>
    <x v="2"/>
    <x v="0"/>
    <s v="Ryann Stickler"/>
    <s v="Birmingham"/>
    <s v="United Kingdom"/>
    <x v="1"/>
    <x v="0"/>
    <n v="12.15"/>
    <x v="76"/>
  </r>
  <r>
    <s v="KXA-27983-918"/>
    <x v="643"/>
    <x v="825"/>
    <s v="R-L-0.5"/>
    <x v="0"/>
    <x v="1"/>
    <x v="1"/>
    <s v="Daryn Cassius"/>
    <s v="Battle Creek"/>
    <s v="United States"/>
    <x v="1"/>
    <x v="1"/>
    <n v="7.17"/>
    <x v="174"/>
  </r>
  <r>
    <s v="PDB-98743-282"/>
    <x v="644"/>
    <x v="826"/>
    <s v="L-L-1"/>
    <x v="3"/>
    <x v="1"/>
    <x v="0"/>
    <s v="Skelly Dolohunty"/>
    <s v="Ballymun"/>
    <s v="Ireland"/>
    <x v="1"/>
    <x v="4"/>
    <n v="15.85"/>
    <x v="46"/>
  </r>
  <r>
    <s v="SXW-34014-556"/>
    <x v="645"/>
    <x v="827"/>
    <s v="R-L-0.2"/>
    <x v="0"/>
    <x v="1"/>
    <x v="2"/>
    <s v="Drake Jevon"/>
    <s v="Houston"/>
    <s v="United States"/>
    <x v="0"/>
    <x v="3"/>
    <n v="3.585"/>
    <x v="60"/>
  </r>
  <r>
    <s v="QOJ-38788-727"/>
    <x v="136"/>
    <x v="828"/>
    <s v="E-M-2.5"/>
    <x v="1"/>
    <x v="0"/>
    <x v="3"/>
    <s v="Hall Ranner"/>
    <s v="Cincinnati"/>
    <s v="United States"/>
    <x v="1"/>
    <x v="1"/>
    <n v="31.625"/>
    <x v="197"/>
  </r>
  <r>
    <s v="TGF-38649-658"/>
    <x v="646"/>
    <x v="829"/>
    <s v="L-M-0.5"/>
    <x v="3"/>
    <x v="0"/>
    <x v="1"/>
    <s v="Berkly Imrie"/>
    <s v="Fresno"/>
    <s v="United States"/>
    <x v="1"/>
    <x v="0"/>
    <n v="8.73"/>
    <x v="92"/>
  </r>
  <r>
    <s v="EAI-25194-209"/>
    <x v="647"/>
    <x v="830"/>
    <s v="A-L-2.5"/>
    <x v="2"/>
    <x v="1"/>
    <x v="3"/>
    <s v="Dorey Sopper"/>
    <s v="Saint Paul"/>
    <s v="United States"/>
    <x v="1"/>
    <x v="1"/>
    <n v="29.785"/>
    <x v="74"/>
  </r>
  <r>
    <s v="IJK-34441-720"/>
    <x v="648"/>
    <x v="831"/>
    <s v="A-M-0.5"/>
    <x v="2"/>
    <x v="0"/>
    <x v="1"/>
    <s v="Darcy Lochran"/>
    <s v="El Paso"/>
    <s v="United States"/>
    <x v="0"/>
    <x v="2"/>
    <n v="6.75"/>
    <x v="61"/>
  </r>
  <r>
    <s v="ZMC-00336-619"/>
    <x v="591"/>
    <x v="832"/>
    <s v="A-M-0.5"/>
    <x v="2"/>
    <x v="0"/>
    <x v="1"/>
    <s v="Lauritz Ledgley"/>
    <s v="Des Moines"/>
    <s v="United States"/>
    <x v="0"/>
    <x v="5"/>
    <n v="6.75"/>
    <x v="21"/>
  </r>
  <r>
    <s v="UPX-54529-618"/>
    <x v="649"/>
    <x v="833"/>
    <s v="L-D-1"/>
    <x v="3"/>
    <x v="2"/>
    <x v="0"/>
    <s v="Tawnya Menary"/>
    <s v="Portland"/>
    <s v="United States"/>
    <x v="1"/>
    <x v="4"/>
    <n v="12.95"/>
    <x v="9"/>
  </r>
  <r>
    <s v="DLX-01059-899"/>
    <x v="192"/>
    <x v="834"/>
    <s v="R-L-1"/>
    <x v="0"/>
    <x v="1"/>
    <x v="0"/>
    <s v="Gustaf Ciccotti"/>
    <s v="Houston"/>
    <s v="United States"/>
    <x v="1"/>
    <x v="1"/>
    <n v="11.95"/>
    <x v="143"/>
  </r>
  <r>
    <s v="MEK-85120-243"/>
    <x v="650"/>
    <x v="835"/>
    <s v="R-L-0.2"/>
    <x v="0"/>
    <x v="1"/>
    <x v="2"/>
    <s v="Bobbe Renner"/>
    <s v="Durham"/>
    <s v="United States"/>
    <x v="1"/>
    <x v="4"/>
    <n v="3.585"/>
    <x v="127"/>
  </r>
  <r>
    <s v="NFI-37188-246"/>
    <x v="555"/>
    <x v="836"/>
    <s v="A-D-2.5"/>
    <x v="2"/>
    <x v="2"/>
    <x v="3"/>
    <s v="Wilton Jallin"/>
    <s v="Boston"/>
    <s v="United States"/>
    <x v="1"/>
    <x v="5"/>
    <n v="22.885000000000002"/>
    <x v="28"/>
  </r>
  <r>
    <s v="BXH-62195-013"/>
    <x v="585"/>
    <x v="837"/>
    <s v="A-M-1"/>
    <x v="2"/>
    <x v="0"/>
    <x v="0"/>
    <s v="Mindy Bogey"/>
    <s v="Washington"/>
    <s v="United States"/>
    <x v="0"/>
    <x v="5"/>
    <n v="11.25"/>
    <x v="158"/>
  </r>
  <r>
    <s v="YLK-78851-470"/>
    <x v="651"/>
    <x v="838"/>
    <s v="R-M-2.5"/>
    <x v="0"/>
    <x v="0"/>
    <x v="3"/>
    <s v="Paulie Fonzone"/>
    <s v="Albany"/>
    <s v="United States"/>
    <x v="0"/>
    <x v="2"/>
    <n v="22.885000000000002"/>
    <x v="164"/>
  </r>
  <r>
    <s v="DXY-76225-633"/>
    <x v="121"/>
    <x v="839"/>
    <s v="A-M-0.5"/>
    <x v="2"/>
    <x v="0"/>
    <x v="1"/>
    <s v="Merrile Cobbledick"/>
    <s v="Tucson"/>
    <s v="United States"/>
    <x v="1"/>
    <x v="3"/>
    <n v="6.75"/>
    <x v="52"/>
  </r>
  <r>
    <s v="UHP-24614-199"/>
    <x v="473"/>
    <x v="840"/>
    <s v="A-M-1"/>
    <x v="2"/>
    <x v="0"/>
    <x v="0"/>
    <s v="Antonius Lewry"/>
    <s v="Montgomery"/>
    <s v="United States"/>
    <x v="1"/>
    <x v="5"/>
    <n v="11.25"/>
    <x v="158"/>
  </r>
  <r>
    <s v="HBY-35655-049"/>
    <x v="594"/>
    <x v="841"/>
    <s v="E-D-2.5"/>
    <x v="1"/>
    <x v="2"/>
    <x v="3"/>
    <s v="Isis Hessel"/>
    <s v="Fairbanks"/>
    <s v="United States"/>
    <x v="0"/>
    <x v="4"/>
    <n v="27.945"/>
    <x v="171"/>
  </r>
  <r>
    <s v="DCE-22886-861"/>
    <x v="90"/>
    <x v="842"/>
    <s v="E-D-0.2"/>
    <x v="1"/>
    <x v="2"/>
    <x v="2"/>
    <s v="Harland Trematick"/>
    <s v="Monasterevin"/>
    <s v="Ireland"/>
    <x v="0"/>
    <x v="3"/>
    <n v="3.645"/>
    <x v="187"/>
  </r>
  <r>
    <s v="QTG-93823-843"/>
    <x v="652"/>
    <x v="843"/>
    <s v="A-M-0.5"/>
    <x v="2"/>
    <x v="0"/>
    <x v="1"/>
    <s v="Chloris Sorrell"/>
    <s v="Norton"/>
    <s v="United Kingdom"/>
    <x v="1"/>
    <x v="3"/>
    <n v="6.75"/>
    <x v="52"/>
  </r>
  <r>
    <s v="QTG-93823-843"/>
    <x v="652"/>
    <x v="843"/>
    <s v="E-D-0.5"/>
    <x v="1"/>
    <x v="2"/>
    <x v="1"/>
    <s v="Chloris Sorrell"/>
    <s v="Norton"/>
    <s v="United Kingdom"/>
    <x v="1"/>
    <x v="4"/>
    <n v="7.29"/>
    <x v="10"/>
  </r>
  <r>
    <s v="WFT-16178-396"/>
    <x v="249"/>
    <x v="844"/>
    <s v="R-D-0.2"/>
    <x v="0"/>
    <x v="2"/>
    <x v="2"/>
    <s v="Quintina Heavyside"/>
    <s v="Lexington"/>
    <s v="United States"/>
    <x v="0"/>
    <x v="1"/>
    <n v="2.6850000000000001"/>
    <x v="148"/>
  </r>
  <r>
    <s v="ERC-54560-934"/>
    <x v="653"/>
    <x v="845"/>
    <s v="R-D-2.5"/>
    <x v="0"/>
    <x v="2"/>
    <x v="3"/>
    <s v="Hadley Reuven"/>
    <s v="Grand Rapids"/>
    <s v="United States"/>
    <x v="1"/>
    <x v="2"/>
    <n v="20.585000000000001"/>
    <x v="99"/>
  </r>
  <r>
    <s v="RUK-78200-416"/>
    <x v="654"/>
    <x v="846"/>
    <s v="L-D-0.2"/>
    <x v="3"/>
    <x v="2"/>
    <x v="2"/>
    <s v="Mitch Attwool"/>
    <s v="Des Moines"/>
    <s v="United States"/>
    <x v="1"/>
    <x v="0"/>
    <n v="3.8849999999999998"/>
    <x v="5"/>
  </r>
  <r>
    <s v="KHK-13105-388"/>
    <x v="177"/>
    <x v="847"/>
    <s v="A-M-1"/>
    <x v="2"/>
    <x v="0"/>
    <x v="0"/>
    <s v="Charin Maplethorp"/>
    <s v="Wilmington"/>
    <s v="United States"/>
    <x v="0"/>
    <x v="2"/>
    <n v="11.25"/>
    <x v="173"/>
  </r>
  <r>
    <s v="NJR-03699-189"/>
    <x v="16"/>
    <x v="848"/>
    <s v="E-D-2.5"/>
    <x v="1"/>
    <x v="2"/>
    <x v="3"/>
    <s v="Goldie Wynes"/>
    <s v="Austin"/>
    <s v="United States"/>
    <x v="1"/>
    <x v="3"/>
    <n v="27.945"/>
    <x v="140"/>
  </r>
  <r>
    <s v="PJV-20427-019"/>
    <x v="509"/>
    <x v="849"/>
    <s v="A-L-2.5"/>
    <x v="2"/>
    <x v="1"/>
    <x v="3"/>
    <s v="Celie MacCourt"/>
    <s v="Orlando"/>
    <s v="United States"/>
    <x v="1"/>
    <x v="4"/>
    <n v="29.785"/>
    <x v="49"/>
  </r>
  <r>
    <s v="OLA-68289-577"/>
    <x v="527"/>
    <x v="850"/>
    <s v="A-M-0.5"/>
    <x v="2"/>
    <x v="0"/>
    <x v="1"/>
    <s v="Evy Wilsone"/>
    <s v="Washington"/>
    <s v="United States"/>
    <x v="0"/>
    <x v="1"/>
    <n v="6.75"/>
    <x v="65"/>
  </r>
  <r>
    <s v="TNR-84447-052"/>
    <x v="655"/>
    <x v="851"/>
    <s v="E-D-2.5"/>
    <x v="1"/>
    <x v="2"/>
    <x v="3"/>
    <s v="Dolores Duffie"/>
    <s v="Portland"/>
    <s v="United States"/>
    <x v="1"/>
    <x v="5"/>
    <n v="27.945"/>
    <x v="150"/>
  </r>
  <r>
    <s v="FBZ-64200-586"/>
    <x v="523"/>
    <x v="852"/>
    <s v="E-M-2.5"/>
    <x v="1"/>
    <x v="0"/>
    <x v="3"/>
    <s v="Mathilda Matiasek"/>
    <s v="New York City"/>
    <s v="United States"/>
    <x v="0"/>
    <x v="0"/>
    <n v="31.625"/>
    <x v="41"/>
  </r>
  <r>
    <s v="OBN-66334-505"/>
    <x v="656"/>
    <x v="853"/>
    <s v="E-L-0.2"/>
    <x v="1"/>
    <x v="1"/>
    <x v="2"/>
    <s v="Jarred Camillo"/>
    <s v="Washington"/>
    <s v="United States"/>
    <x v="0"/>
    <x v="0"/>
    <n v="4.4550000000000001"/>
    <x v="161"/>
  </r>
  <r>
    <s v="NXM-89323-646"/>
    <x v="657"/>
    <x v="854"/>
    <s v="E-D-1"/>
    <x v="1"/>
    <x v="2"/>
    <x v="0"/>
    <s v="Kameko Philbrick"/>
    <s v="Washington"/>
    <s v="United States"/>
    <x v="0"/>
    <x v="3"/>
    <n v="12.15"/>
    <x v="87"/>
  </r>
  <r>
    <s v="NHI-23264-055"/>
    <x v="658"/>
    <x v="855"/>
    <s v="A-D-0.5"/>
    <x v="2"/>
    <x v="2"/>
    <x v="1"/>
    <s v="Mallory Shrimpling"/>
    <s v="Allentown"/>
    <s v="United States"/>
    <x v="0"/>
    <x v="5"/>
    <n v="5.97"/>
    <x v="86"/>
  </r>
  <r>
    <s v="EQH-53569-934"/>
    <x v="659"/>
    <x v="856"/>
    <s v="E-M-1"/>
    <x v="1"/>
    <x v="0"/>
    <x v="0"/>
    <s v="Barnett Sillis"/>
    <s v="Miami"/>
    <s v="United States"/>
    <x v="1"/>
    <x v="5"/>
    <n v="13.75"/>
    <x v="194"/>
  </r>
  <r>
    <s v="XKK-06692-189"/>
    <x v="559"/>
    <x v="857"/>
    <s v="R-D-1"/>
    <x v="0"/>
    <x v="2"/>
    <x v="0"/>
    <s v="Brenn Dundredge"/>
    <s v="Oklahoma City"/>
    <s v="United States"/>
    <x v="0"/>
    <x v="4"/>
    <n v="8.9499999999999993"/>
    <x v="167"/>
  </r>
  <r>
    <s v="PJS-30996-485"/>
    <x v="8"/>
    <x v="857"/>
    <s v="A-L-0.2"/>
    <x v="2"/>
    <x v="1"/>
    <x v="2"/>
    <s v="Brenn Dundredge"/>
    <s v="Oklahoma City"/>
    <s v="United States"/>
    <x v="0"/>
    <x v="3"/>
    <n v="3.8849999999999998"/>
    <x v="84"/>
  </r>
  <r>
    <s v="HEL-86709-449"/>
    <x v="660"/>
    <x v="857"/>
    <s v="E-D-2.5"/>
    <x v="1"/>
    <x v="2"/>
    <x v="3"/>
    <s v="Brenn Dundredge"/>
    <s v="Oklahoma City"/>
    <s v="United States"/>
    <x v="0"/>
    <x v="3"/>
    <n v="27.945"/>
    <x v="140"/>
  </r>
  <r>
    <s v="NCH-55389-562"/>
    <x v="111"/>
    <x v="857"/>
    <s v="E-L-2.5"/>
    <x v="1"/>
    <x v="1"/>
    <x v="3"/>
    <s v="Brenn Dundredge"/>
    <s v="Oklahoma City"/>
    <s v="United States"/>
    <x v="0"/>
    <x v="1"/>
    <n v="34.155000000000001"/>
    <x v="19"/>
  </r>
  <r>
    <s v="NCH-55389-562"/>
    <x v="111"/>
    <x v="857"/>
    <s v="R-L-2.5"/>
    <x v="0"/>
    <x v="1"/>
    <x v="3"/>
    <s v="Brenn Dundredge"/>
    <s v="Oklahoma City"/>
    <s v="United States"/>
    <x v="0"/>
    <x v="0"/>
    <n v="27.484999999999999"/>
    <x v="7"/>
  </r>
  <r>
    <s v="NCH-55389-562"/>
    <x v="111"/>
    <x v="857"/>
    <s v="E-L-1"/>
    <x v="1"/>
    <x v="1"/>
    <x v="0"/>
    <s v="Brenn Dundredge"/>
    <s v="Oklahoma City"/>
    <s v="United States"/>
    <x v="0"/>
    <x v="3"/>
    <n v="14.85"/>
    <x v="152"/>
  </r>
  <r>
    <s v="NCH-55389-562"/>
    <x v="111"/>
    <x v="857"/>
    <s v="A-L-0.2"/>
    <x v="2"/>
    <x v="1"/>
    <x v="2"/>
    <s v="Brenn Dundredge"/>
    <s v="Oklahoma City"/>
    <s v="United States"/>
    <x v="0"/>
    <x v="0"/>
    <n v="3.8849999999999998"/>
    <x v="5"/>
  </r>
  <r>
    <s v="BYP-16005-016"/>
    <x v="661"/>
    <x v="858"/>
    <s v="R-M-2.5"/>
    <x v="0"/>
    <x v="0"/>
    <x v="3"/>
    <s v="Read Cutts"/>
    <s v="Rockford"/>
    <s v="United States"/>
    <x v="1"/>
    <x v="1"/>
    <n v="22.885000000000002"/>
    <x v="23"/>
  </r>
  <r>
    <s v="LWS-13938-905"/>
    <x v="662"/>
    <x v="859"/>
    <s v="A-M-2.5"/>
    <x v="2"/>
    <x v="0"/>
    <x v="3"/>
    <s v="Michale Delves"/>
    <s v="Montgomery"/>
    <s v="United States"/>
    <x v="0"/>
    <x v="2"/>
    <n v="25.875"/>
    <x v="71"/>
  </r>
  <r>
    <s v="OLH-95722-362"/>
    <x v="663"/>
    <x v="860"/>
    <s v="L-D-0.5"/>
    <x v="3"/>
    <x v="2"/>
    <x v="1"/>
    <s v="Devland Gritton"/>
    <s v="Pasadena"/>
    <s v="United States"/>
    <x v="0"/>
    <x v="4"/>
    <n v="7.77"/>
    <x v="102"/>
  </r>
  <r>
    <s v="OLH-95722-362"/>
    <x v="663"/>
    <x v="860"/>
    <s v="R-M-2.5"/>
    <x v="0"/>
    <x v="0"/>
    <x v="3"/>
    <s v="Devland Gritton"/>
    <s v="Pasadena"/>
    <s v="United States"/>
    <x v="0"/>
    <x v="5"/>
    <n v="22.885000000000002"/>
    <x v="28"/>
  </r>
  <r>
    <s v="KCW-50949-318"/>
    <x v="185"/>
    <x v="861"/>
    <s v="E-L-1"/>
    <x v="1"/>
    <x v="1"/>
    <x v="0"/>
    <s v="Dell Gut"/>
    <s v="Houston"/>
    <s v="United States"/>
    <x v="0"/>
    <x v="1"/>
    <n v="14.85"/>
    <x v="159"/>
  </r>
  <r>
    <s v="JGZ-16947-591"/>
    <x v="664"/>
    <x v="862"/>
    <s v="L-L-0.2"/>
    <x v="3"/>
    <x v="1"/>
    <x v="2"/>
    <s v="Willy Pummery"/>
    <s v="Muskegon"/>
    <s v="United States"/>
    <x v="1"/>
    <x v="2"/>
    <n v="4.7549999999999999"/>
    <x v="36"/>
  </r>
  <r>
    <s v="LXS-63326-144"/>
    <x v="335"/>
    <x v="863"/>
    <s v="R-L-0.5"/>
    <x v="0"/>
    <x v="1"/>
    <x v="1"/>
    <s v="Geoffrey Siuda"/>
    <s v="Washington"/>
    <s v="United States"/>
    <x v="0"/>
    <x v="0"/>
    <n v="7.17"/>
    <x v="79"/>
  </r>
  <r>
    <s v="CZG-86544-655"/>
    <x v="665"/>
    <x v="864"/>
    <s v="A-L-0.5"/>
    <x v="2"/>
    <x v="1"/>
    <x v="1"/>
    <s v="Henderson Crowne"/>
    <s v="Sallins"/>
    <s v="Ireland"/>
    <x v="0"/>
    <x v="0"/>
    <n v="7.77"/>
    <x v="42"/>
  </r>
  <r>
    <s v="WFV-88138-247"/>
    <x v="27"/>
    <x v="865"/>
    <s v="R-L-1"/>
    <x v="0"/>
    <x v="1"/>
    <x v="0"/>
    <s v="Vernor Pawsey"/>
    <s v="Macon"/>
    <s v="United States"/>
    <x v="1"/>
    <x v="4"/>
    <n v="11.95"/>
    <x v="66"/>
  </r>
  <r>
    <s v="RFG-28227-288"/>
    <x v="20"/>
    <x v="866"/>
    <s v="A-L-0.5"/>
    <x v="2"/>
    <x v="1"/>
    <x v="1"/>
    <s v="Augustin Waterhouse"/>
    <s v="Shreveport"/>
    <s v="United States"/>
    <x v="1"/>
    <x v="2"/>
    <n v="7.77"/>
    <x v="162"/>
  </r>
  <r>
    <s v="QAK-77286-758"/>
    <x v="106"/>
    <x v="867"/>
    <s v="R-L-0.5"/>
    <x v="0"/>
    <x v="1"/>
    <x v="1"/>
    <s v="Fanchon Haughian"/>
    <s v="Tacoma"/>
    <s v="United States"/>
    <x v="1"/>
    <x v="1"/>
    <n v="7.17"/>
    <x v="174"/>
  </r>
  <r>
    <s v="CZD-56716-840"/>
    <x v="666"/>
    <x v="868"/>
    <s v="L-D-2.5"/>
    <x v="3"/>
    <x v="2"/>
    <x v="3"/>
    <s v="Jaimie Hatz"/>
    <s v="El Paso"/>
    <s v="United States"/>
    <x v="1"/>
    <x v="5"/>
    <n v="29.785"/>
    <x v="129"/>
  </r>
  <r>
    <s v="UBI-59229-277"/>
    <x v="44"/>
    <x v="869"/>
    <s v="L-D-0.5"/>
    <x v="3"/>
    <x v="2"/>
    <x v="1"/>
    <s v="Edeline Edney"/>
    <s v="Birmingham"/>
    <s v="United States"/>
    <x v="1"/>
    <x v="4"/>
    <n v="7.77"/>
    <x v="102"/>
  </r>
  <r>
    <s v="WJJ-37489-898"/>
    <x v="171"/>
    <x v="870"/>
    <s v="A-M-1"/>
    <x v="2"/>
    <x v="0"/>
    <x v="0"/>
    <s v="Rickie Faltin"/>
    <s v="Portumna"/>
    <s v="Ireland"/>
    <x v="1"/>
    <x v="3"/>
    <n v="11.25"/>
    <x v="24"/>
  </r>
  <r>
    <s v="ORX-57454-917"/>
    <x v="329"/>
    <x v="871"/>
    <s v="E-D-2.5"/>
    <x v="1"/>
    <x v="2"/>
    <x v="3"/>
    <s v="Gnni Cheeke"/>
    <s v="London"/>
    <s v="United Kingdom"/>
    <x v="0"/>
    <x v="4"/>
    <n v="27.945"/>
    <x v="171"/>
  </r>
  <r>
    <s v="GRB-68838-629"/>
    <x v="649"/>
    <x v="872"/>
    <s v="R-L-2.5"/>
    <x v="0"/>
    <x v="1"/>
    <x v="3"/>
    <s v="Gwenni Ratt"/>
    <s v="Castlemartyr"/>
    <s v="Ireland"/>
    <x v="1"/>
    <x v="5"/>
    <n v="27.484999999999999"/>
    <x v="108"/>
  </r>
  <r>
    <s v="SHT-04865-419"/>
    <x v="667"/>
    <x v="873"/>
    <s v="R-L-0.2"/>
    <x v="0"/>
    <x v="1"/>
    <x v="2"/>
    <s v="Johnath Fairebrother"/>
    <s v="Wilmington"/>
    <s v="United States"/>
    <x v="0"/>
    <x v="5"/>
    <n v="3.585"/>
    <x v="79"/>
  </r>
  <r>
    <s v="UQI-28177-865"/>
    <x v="577"/>
    <x v="874"/>
    <s v="R-L-0.2"/>
    <x v="0"/>
    <x v="1"/>
    <x v="2"/>
    <s v="Ingamar Eberlein"/>
    <s v="Harrisburg"/>
    <s v="United States"/>
    <x v="1"/>
    <x v="2"/>
    <n v="3.585"/>
    <x v="137"/>
  </r>
  <r>
    <s v="OIB-13664-879"/>
    <x v="115"/>
    <x v="875"/>
    <s v="A-M-1"/>
    <x v="2"/>
    <x v="0"/>
    <x v="0"/>
    <s v="Jilly Dreng"/>
    <s v="Sallins"/>
    <s v="Ireland"/>
    <x v="0"/>
    <x v="0"/>
    <n v="11.25"/>
    <x v="122"/>
  </r>
  <r>
    <s v="GUG-45603-775"/>
    <x v="668"/>
    <x v="876"/>
    <s v="L-L-0.2"/>
    <x v="3"/>
    <x v="1"/>
    <x v="2"/>
    <s v="Rhodie Strathern"/>
    <s v="Little Rock"/>
    <s v="United States"/>
    <x v="0"/>
    <x v="1"/>
    <n v="4.7549999999999999"/>
    <x v="25"/>
  </r>
  <r>
    <s v="KJB-98240-098"/>
    <x v="423"/>
    <x v="877"/>
    <s v="L-L-1"/>
    <x v="3"/>
    <x v="1"/>
    <x v="0"/>
    <s v="Chad Miguel"/>
    <s v="Hagerstown"/>
    <s v="United States"/>
    <x v="0"/>
    <x v="1"/>
    <n v="15.85"/>
    <x v="181"/>
  </r>
  <r>
    <s v="JMS-48374-462"/>
    <x v="669"/>
    <x v="878"/>
    <s v="A-D-2.5"/>
    <x v="2"/>
    <x v="2"/>
    <x v="3"/>
    <s v="Florinda Matusovsky"/>
    <s v="Albany"/>
    <s v="United States"/>
    <x v="0"/>
    <x v="0"/>
    <n v="22.885000000000002"/>
    <x v="135"/>
  </r>
  <r>
    <s v="YIT-15877-117"/>
    <x v="670"/>
    <x v="879"/>
    <s v="R-D-1"/>
    <x v="0"/>
    <x v="2"/>
    <x v="0"/>
    <s v="Morly Rocks"/>
    <s v="Crossmolina"/>
    <s v="Ireland"/>
    <x v="0"/>
    <x v="3"/>
    <n v="8.9499999999999993"/>
    <x v="193"/>
  </r>
  <r>
    <s v="YVK-82679-655"/>
    <x v="342"/>
    <x v="880"/>
    <s v="R-M-0.5"/>
    <x v="0"/>
    <x v="0"/>
    <x v="1"/>
    <s v="Yuri Burrells"/>
    <s v="Lexington"/>
    <s v="United States"/>
    <x v="0"/>
    <x v="5"/>
    <n v="5.97"/>
    <x v="86"/>
  </r>
  <r>
    <s v="TYH-81940-054"/>
    <x v="671"/>
    <x v="881"/>
    <s v="E-L-0.2"/>
    <x v="1"/>
    <x v="1"/>
    <x v="2"/>
    <s v="Cleopatra Goodrum"/>
    <s v="San Diego"/>
    <s v="United States"/>
    <x v="1"/>
    <x v="1"/>
    <n v="4.4550000000000001"/>
    <x v="110"/>
  </r>
  <r>
    <s v="HTY-30660-254"/>
    <x v="672"/>
    <x v="882"/>
    <s v="R-M-1"/>
    <x v="0"/>
    <x v="0"/>
    <x v="0"/>
    <s v="Joey Jefferys"/>
    <s v="Los Angeles"/>
    <s v="United States"/>
    <x v="0"/>
    <x v="4"/>
    <n v="9.9499999999999993"/>
    <x v="44"/>
  </r>
  <r>
    <s v="GPW-43956-761"/>
    <x v="673"/>
    <x v="883"/>
    <s v="E-L-0.5"/>
    <x v="1"/>
    <x v="1"/>
    <x v="1"/>
    <s v="Bearnard Wardell"/>
    <s v="Brooklyn"/>
    <s v="United States"/>
    <x v="0"/>
    <x v="2"/>
    <n v="8.91"/>
    <x v="119"/>
  </r>
  <r>
    <s v="DWY-56352-412"/>
    <x v="674"/>
    <x v="884"/>
    <s v="R-D-0.2"/>
    <x v="0"/>
    <x v="2"/>
    <x v="2"/>
    <s v="Zeke Walisiak"/>
    <s v="Booterstown"/>
    <s v="Ireland"/>
    <x v="0"/>
    <x v="3"/>
    <n v="2.6850000000000001"/>
    <x v="97"/>
  </r>
  <r>
    <s v="PUH-55647-976"/>
    <x v="675"/>
    <x v="885"/>
    <s v="R-M-0.2"/>
    <x v="0"/>
    <x v="0"/>
    <x v="2"/>
    <s v="Wiley Leopold"/>
    <s v="Gainesville"/>
    <s v="United States"/>
    <x v="1"/>
    <x v="0"/>
    <n v="2.9849999999999999"/>
    <x v="14"/>
  </r>
  <r>
    <s v="DTB-71371-705"/>
    <x v="541"/>
    <x v="886"/>
    <s v="L-D-1"/>
    <x v="3"/>
    <x v="2"/>
    <x v="0"/>
    <s v="Chiarra Shalders"/>
    <s v="Clearwater"/>
    <s v="United States"/>
    <x v="0"/>
    <x v="3"/>
    <n v="12.95"/>
    <x v="4"/>
  </r>
  <r>
    <s v="ZDC-64769-740"/>
    <x v="676"/>
    <x v="887"/>
    <s v="E-M-0.5"/>
    <x v="1"/>
    <x v="0"/>
    <x v="1"/>
    <s v="Sharl Southerill"/>
    <s v="Amarillo"/>
    <s v="United States"/>
    <x v="1"/>
    <x v="3"/>
    <n v="8.25"/>
    <x v="112"/>
  </r>
  <r>
    <s v="TED-81959-419"/>
    <x v="677"/>
    <x v="888"/>
    <s v="A-L-2.5"/>
    <x v="2"/>
    <x v="1"/>
    <x v="3"/>
    <s v="Noni Furber"/>
    <s v="Fort Worth"/>
    <s v="United States"/>
    <x v="1"/>
    <x v="1"/>
    <n v="29.785"/>
    <x v="74"/>
  </r>
  <r>
    <s v="FDO-25756-141"/>
    <x v="629"/>
    <x v="889"/>
    <s v="A-L-2.5"/>
    <x v="2"/>
    <x v="1"/>
    <x v="3"/>
    <s v="Dinah Crutcher"/>
    <s v="Lusk"/>
    <s v="Ireland"/>
    <x v="0"/>
    <x v="4"/>
    <n v="29.785"/>
    <x v="49"/>
  </r>
  <r>
    <s v="HKN-31467-517"/>
    <x v="663"/>
    <x v="890"/>
    <s v="L-M-1"/>
    <x v="3"/>
    <x v="0"/>
    <x v="0"/>
    <s v="Charlean Keave"/>
    <s v="Pensacola"/>
    <s v="United States"/>
    <x v="1"/>
    <x v="2"/>
    <n v="14.55"/>
    <x v="75"/>
  </r>
  <r>
    <s v="ALM-80762-974"/>
    <x v="55"/>
    <x v="890"/>
    <s v="A-L-0.5"/>
    <x v="2"/>
    <x v="1"/>
    <x v="1"/>
    <s v="Charlean Keave"/>
    <s v="Pensacola"/>
    <s v="United States"/>
    <x v="1"/>
    <x v="4"/>
    <n v="7.77"/>
    <x v="102"/>
  </r>
  <r>
    <s v="POF-29666-012"/>
    <x v="103"/>
    <x v="891"/>
    <s v="R-D-0.5"/>
    <x v="0"/>
    <x v="2"/>
    <x v="1"/>
    <s v="Sada Roseborough"/>
    <s v="Tacoma"/>
    <s v="United States"/>
    <x v="0"/>
    <x v="3"/>
    <n v="5.37"/>
    <x v="147"/>
  </r>
  <r>
    <s v="IRX-59256-644"/>
    <x v="678"/>
    <x v="892"/>
    <s v="A-D-0.2"/>
    <x v="2"/>
    <x v="2"/>
    <x v="2"/>
    <s v="Clayton Kingwell"/>
    <s v="Rathnew"/>
    <s v="Ireland"/>
    <x v="0"/>
    <x v="4"/>
    <n v="2.9849999999999999"/>
    <x v="170"/>
  </r>
  <r>
    <s v="LTN-89139-350"/>
    <x v="679"/>
    <x v="893"/>
    <s v="R-L-2.5"/>
    <x v="0"/>
    <x v="1"/>
    <x v="3"/>
    <s v="Kacy Canto"/>
    <s v="Fort Wayne"/>
    <s v="United States"/>
    <x v="0"/>
    <x v="1"/>
    <n v="27.484999999999999"/>
    <x v="188"/>
  </r>
  <r>
    <s v="TXF-79780-017"/>
    <x v="113"/>
    <x v="894"/>
    <s v="R-L-1"/>
    <x v="0"/>
    <x v="1"/>
    <x v="0"/>
    <s v="Mab Blakemore"/>
    <s v="Amarillo"/>
    <s v="United States"/>
    <x v="1"/>
    <x v="1"/>
    <n v="11.95"/>
    <x v="143"/>
  </r>
  <r>
    <s v="NXF-15738-707"/>
    <x v="680"/>
    <x v="895"/>
    <s v="R-D-0.5"/>
    <x v="0"/>
    <x v="2"/>
    <x v="1"/>
    <s v="Javier Causnett"/>
    <s v="Silver Spring"/>
    <s v="United States"/>
    <x v="1"/>
    <x v="0"/>
    <n v="5.37"/>
    <x v="176"/>
  </r>
  <r>
    <s v="MVV-19034-198"/>
    <x v="95"/>
    <x v="896"/>
    <s v="E-D-2.5"/>
    <x v="1"/>
    <x v="2"/>
    <x v="3"/>
    <s v="Demetris Micheli"/>
    <s v="Madison"/>
    <s v="United States"/>
    <x v="0"/>
    <x v="2"/>
    <n v="27.945"/>
    <x v="165"/>
  </r>
  <r>
    <s v="KUX-19632-830"/>
    <x v="160"/>
    <x v="897"/>
    <s v="E-D-0.2"/>
    <x v="1"/>
    <x v="2"/>
    <x v="2"/>
    <s v="Chloette Bernardot"/>
    <s v="Conroe"/>
    <s v="United States"/>
    <x v="0"/>
    <x v="2"/>
    <n v="3.645"/>
    <x v="10"/>
  </r>
  <r>
    <s v="SNZ-44595-152"/>
    <x v="681"/>
    <x v="898"/>
    <s v="R-L-1"/>
    <x v="0"/>
    <x v="1"/>
    <x v="0"/>
    <s v="Kim Kemery"/>
    <s v="Denton"/>
    <s v="United States"/>
    <x v="0"/>
    <x v="0"/>
    <n v="11.95"/>
    <x v="179"/>
  </r>
  <r>
    <s v="GQA-37241-629"/>
    <x v="502"/>
    <x v="899"/>
    <s v="A-M-0.2"/>
    <x v="2"/>
    <x v="0"/>
    <x v="2"/>
    <s v="Fanchette Parlot"/>
    <s v="Columbus"/>
    <s v="United States"/>
    <x v="0"/>
    <x v="0"/>
    <n v="3.375"/>
    <x v="52"/>
  </r>
  <r>
    <s v="WVV-79948-067"/>
    <x v="682"/>
    <x v="900"/>
    <s v="E-M-2.5"/>
    <x v="1"/>
    <x v="0"/>
    <x v="3"/>
    <s v="Ramon Cheak"/>
    <s v="Bundoran"/>
    <s v="Ireland"/>
    <x v="0"/>
    <x v="3"/>
    <n v="31.625"/>
    <x v="178"/>
  </r>
  <r>
    <s v="LHX-81117-166"/>
    <x v="683"/>
    <x v="901"/>
    <s v="R-L-1"/>
    <x v="0"/>
    <x v="1"/>
    <x v="0"/>
    <s v="Koressa O'Geneay"/>
    <s v="Aurora"/>
    <s v="United States"/>
    <x v="1"/>
    <x v="5"/>
    <n v="11.95"/>
    <x v="62"/>
  </r>
  <r>
    <s v="GCD-75444-320"/>
    <x v="594"/>
    <x v="902"/>
    <s v="L-M-2.5"/>
    <x v="3"/>
    <x v="0"/>
    <x v="3"/>
    <s v="Claudell Ayre"/>
    <s v="Daytona Beach"/>
    <s v="United States"/>
    <x v="1"/>
    <x v="3"/>
    <n v="33.465000000000003"/>
    <x v="116"/>
  </r>
  <r>
    <s v="SGA-30059-217"/>
    <x v="389"/>
    <x v="903"/>
    <s v="A-D-0.5"/>
    <x v="2"/>
    <x v="2"/>
    <x v="1"/>
    <s v="Lorianne Kyneton"/>
    <s v="Seaton"/>
    <s v="United Kingdom"/>
    <x v="0"/>
    <x v="1"/>
    <n v="5.97"/>
    <x v="44"/>
  </r>
  <r>
    <s v="GNL-98714-885"/>
    <x v="584"/>
    <x v="904"/>
    <s v="R-M-1"/>
    <x v="0"/>
    <x v="0"/>
    <x v="0"/>
    <s v="Adele McFayden"/>
    <s v="Wirral"/>
    <s v="United Kingdom"/>
    <x v="0"/>
    <x v="4"/>
    <n v="9.9499999999999993"/>
    <x v="44"/>
  </r>
  <r>
    <s v="OQA-93249-841"/>
    <x v="648"/>
    <x v="905"/>
    <s v="A-M-2.5"/>
    <x v="2"/>
    <x v="0"/>
    <x v="3"/>
    <s v="Herta Layne"/>
    <s v="Saint Louis"/>
    <s v="United States"/>
    <x v="0"/>
    <x v="2"/>
    <n v="25.875"/>
    <x v="71"/>
  </r>
  <r>
    <s v="DUV-12075-132"/>
    <x v="366"/>
    <x v="906"/>
    <s v="E-D-0.2"/>
    <x v="1"/>
    <x v="2"/>
    <x v="2"/>
    <s v="Marguerite Graves"/>
    <s v="Fort Smith"/>
    <s v="United States"/>
    <x v="1"/>
    <x v="1"/>
    <n v="3.645"/>
    <x v="94"/>
  </r>
  <r>
    <s v="DUV-12075-132"/>
    <x v="366"/>
    <x v="906"/>
    <s v="L-D-0.5"/>
    <x v="3"/>
    <x v="2"/>
    <x v="1"/>
    <s v="Marguerite Graves"/>
    <s v="Fort Smith"/>
    <s v="United States"/>
    <x v="1"/>
    <x v="0"/>
    <n v="7.77"/>
    <x v="42"/>
  </r>
  <r>
    <s v="AEZ-13242-456"/>
    <x v="684"/>
    <x v="906"/>
    <s v="R-M-0.5"/>
    <x v="0"/>
    <x v="0"/>
    <x v="1"/>
    <s v="Marguerite Graves"/>
    <s v="Fort Smith"/>
    <s v="United States"/>
    <x v="1"/>
    <x v="1"/>
    <n v="5.97"/>
    <x v="44"/>
  </r>
  <r>
    <s v="UME-75640-698"/>
    <x v="685"/>
    <x v="906"/>
    <s v="A-M-0.5"/>
    <x v="2"/>
    <x v="0"/>
    <x v="1"/>
    <s v="Marguerite Graves"/>
    <s v="Fort Smith"/>
    <s v="United States"/>
    <x v="1"/>
    <x v="5"/>
    <n v="6.75"/>
    <x v="21"/>
  </r>
  <r>
    <s v="KPO-24942-184"/>
    <x v="686"/>
    <x v="907"/>
    <s v="L-L-2.5"/>
    <x v="3"/>
    <x v="1"/>
    <x v="3"/>
    <s v="Desdemona Eye"/>
    <s v="Bagenalstown"/>
    <s v="Ireland"/>
    <x v="1"/>
    <x v="4"/>
    <n v="36.454999999999998"/>
    <x v="63"/>
  </r>
  <r>
    <s v="SRJ-79353-838"/>
    <x v="507"/>
    <x v="908"/>
    <s v="A-L-1"/>
    <x v="2"/>
    <x v="1"/>
    <x v="0"/>
    <s v="Margarette Sterland"/>
    <s v="Philadelphia"/>
    <s v="United States"/>
    <x v="1"/>
    <x v="2"/>
    <n v="12.95"/>
    <x v="11"/>
  </r>
  <r>
    <s v="XBV-40336-071"/>
    <x v="687"/>
    <x v="909"/>
    <s v="A-D-0.2"/>
    <x v="2"/>
    <x v="2"/>
    <x v="2"/>
    <s v="Catharine Scoines"/>
    <s v="Watergrasshill"/>
    <s v="Ireland"/>
    <x v="1"/>
    <x v="4"/>
    <n v="2.9849999999999999"/>
    <x v="170"/>
  </r>
  <r>
    <s v="RLM-96511-467"/>
    <x v="192"/>
    <x v="910"/>
    <s v="R-L-2.5"/>
    <x v="0"/>
    <x v="1"/>
    <x v="3"/>
    <s v="Jennica Tewelson"/>
    <s v="Dallas"/>
    <s v="United States"/>
    <x v="1"/>
    <x v="3"/>
    <n v="27.484999999999999"/>
    <x v="142"/>
  </r>
  <r>
    <s v="GJC-66474-557"/>
    <x v="629"/>
    <x v="911"/>
    <s v="A-D-1"/>
    <x v="2"/>
    <x v="2"/>
    <x v="0"/>
    <s v="Nicolina Jenny"/>
    <s v="Whittier"/>
    <s v="United States"/>
    <x v="1"/>
    <x v="3"/>
    <n v="9.9499999999999993"/>
    <x v="138"/>
  </r>
  <r>
    <s v="IRV-20769-219"/>
    <x v="688"/>
    <x v="912"/>
    <s v="E-M-0.2"/>
    <x v="1"/>
    <x v="0"/>
    <x v="2"/>
    <s v="Vidovic Antonelli"/>
    <s v="London"/>
    <s v="United Kingdom"/>
    <x v="0"/>
    <x v="4"/>
    <n v="4.125"/>
    <x v="32"/>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Type" xr10:uid="{96810D1D-954C-4028-801F-6EED47102829}" sourceName="Coffee Type">
  <data>
    <tabular pivotCacheId="1707540729">
      <items count="4">
        <i x="2" s="1"/>
        <i x="1"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 xr10:uid="{B5A64172-C90E-49D3-A33F-136B232C66C1}" sourceName="Roast Type">
  <data>
    <tabular pivotCacheId="170754072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C53BEC15-AB6F-4B2E-BD54-E7DA0A4FE57E}" sourceName="Size">
  <data>
    <tabular pivotCacheId="1707540729">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ffee Type" xr10:uid="{0D02BA78-204B-475A-A8FB-0BEEB157700C}" cache="Slicer_Coffee_Type" caption="Coffee Type" style="SlicerStyleDark1" rowHeight="257175"/>
  <slicer name="Roast Type" xr10:uid="{86DB88E7-F075-4E05-8A82-DFF1812E28A4}" cache="Slicer_Roast_Type" caption="Roast Type" style="SlicerStyleDark1" rowHeight="257175"/>
  <slicer name="Size" xr10:uid="{5D86F373-C579-426B-95E5-3F1ECB3DC8CB}" cache="Slicer_Size" caption="Size" style="SlicerStyleDark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A25CBC71-103B-469C-96CD-634CA1664DF5}" sourceName="Order Date">
  <state minimalRefreshVersion="6" lastRefreshVersion="6" pivotCacheId="1707540729"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8261162B-E2D5-48DC-BF33-1AFD7F26E9F3}" cache="NativeTimeline_Order_Date" caption="Year" level="0" selectionLevel="0" scrollPosition="2019-01-01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32064-E79F-4304-B732-219AD02F2934}">
  <sheetPr>
    <pageSetUpPr fitToPage="1"/>
  </sheetPr>
  <dimension ref="B8:C9"/>
  <sheetViews>
    <sheetView showGridLines="0" tabSelected="1" zoomScale="64" zoomScaleNormal="64" workbookViewId="0">
      <selection activeCell="AE14" sqref="AE14"/>
    </sheetView>
  </sheetViews>
  <sheetFormatPr defaultRowHeight="15" x14ac:dyDescent="0.25"/>
  <cols>
    <col min="27" max="27" width="3.42578125" customWidth="1"/>
  </cols>
  <sheetData>
    <row r="8" spans="2:3" x14ac:dyDescent="0.25">
      <c r="C8" t="b">
        <f>'[1]Revenue Units Sold'!C9=GETPIVOTDATA("Sum of Quantity",'[1]Revenue Units Sold'!$A$3)</f>
        <v>1</v>
      </c>
    </row>
    <row r="9" spans="2:3" x14ac:dyDescent="0.25">
      <c r="B9" t="b">
        <f>'[1]Revenue Units Sold'!B9=GETPIVOTDATA("Sum of Total Sales",'[1]Revenue Units Sold'!$A$3)</f>
        <v>1</v>
      </c>
      <c r="C9" t="b">
        <f>'[1]Revenue Units Sold'!C9=GETPIVOTDATA("Sum of Quantity",'[1]Revenue Units Sold'!$A$3)=GETPIVOTDATA("Sum of Quantity",'[1]Revenue Units Sold'!$A$3)</f>
        <v>0</v>
      </c>
    </row>
  </sheetData>
  <pageMargins left="0.25" right="0.25" top="0.75" bottom="0.75" header="0.3" footer="0.3"/>
  <pageSetup paperSize="9" scale="59"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EXCEL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a23982</dc:creator>
  <cp:lastModifiedBy>a23982</cp:lastModifiedBy>
  <dcterms:created xsi:type="dcterms:W3CDTF">2026-09-15T17:29:13Z</dcterms:created>
  <dcterms:modified xsi:type="dcterms:W3CDTF">2026-09-15T17:29:45Z</dcterms:modified>
</cp:coreProperties>
</file>